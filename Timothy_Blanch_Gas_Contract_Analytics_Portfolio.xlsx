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c3b6390fc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Data" sheetId="1" r:id="Re6771a04c619428c"/>
    <x:sheet xmlns:r="http://schemas.openxmlformats.org/officeDocument/2006/relationships" name="Executive Dashboard" sheetId="2" r:id="Rd14e84287f084b00"/>
    <x:sheet xmlns:r="http://schemas.openxmlformats.org/officeDocument/2006/relationships" name="SQL Portfolio" sheetId="3" r:id="Rb9ca8e891cdb492c"/>
    <x:sheet xmlns:r="http://schemas.openxmlformats.org/officeDocument/2006/relationships" name="Power BI Build Guide" sheetId="4" r:id="R76303c65539b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$#,##0"/>
    <x:numFmt numFmtId="202" formatCode="0.0%"/>
    <x:numFmt numFmtId="203" formatCode="0"/>
    <x:numFmt numFmtId="204" formatCode="0.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4"/>
      <x:color rgb="FF17365D"/>
      <x:name val="Carlito"/>
    </x:font>
    <x:font>
      <x:b/>
      <x:sz val="11"/>
      <x:color rgb="FF17365D"/>
      <x:name val="Carlito"/>
    </x:font>
    <x:font>
      <x:b/>
      <x:sz val="15"/>
      <x:color rgb="FFFFFFFF"/>
      <x:name val="Carlito"/>
    </x:font>
    <x:font>
      <x:sz val="10"/>
      <x:name val="Courier New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3F6FA"/>
      </x:patternFill>
    </x:fill>
    <x:fill>
      <x:patternFill patternType="solid">
        <x:fgColor rgb="FFF8FAFC"/>
      </x:patternFill>
    </x:fill>
    <x:fill>
      <x:patternFill patternType="solid">
        <x:fgColor rgb="FFEEF3F8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3" fontId="4" fillId="5" borderId="0" xfId="0" applyNumberFormat="1" applyFont="1" applyFill="1" applyBorder="1" applyAlignment="1">
      <x:alignment horizontal="center" vertical="center"/>
    </x:xf>
    <x:xf numFmtId="203" fontId="4" fillId="5" borderId="1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204" fontId="4" fillId="5" borderId="0" xfId="0" applyNumberFormat="1" applyFont="1" applyFill="1" applyBorder="1" applyAlignment="1">
      <x:alignment horizontal="center" vertical="center"/>
    </x:xf>
    <x:xf numFmtId="204" fontId="4" fillId="5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f65ac577f4750" /><Relationship Type="http://schemas.openxmlformats.org/officeDocument/2006/relationships/theme" Target="/xl/theme/theme1.xml" Id="R99f91734706a4fdf" /><Relationship Type="http://schemas.openxmlformats.org/officeDocument/2006/relationships/sharedStrings" Target="/xl/sharedStrings.xml" Id="Re0c1ddd987b24ae5" /><Relationship Type="http://schemas.openxmlformats.org/officeDocument/2006/relationships/worksheet" Target="/xl/worksheets/sheet1.xml" Id="Re6771a04c619428c" /><Relationship Type="http://schemas.openxmlformats.org/officeDocument/2006/relationships/worksheet" Target="/xl/worksheets/sheet2.xml" Id="Rd14e84287f084b00" /><Relationship Type="http://schemas.openxmlformats.org/officeDocument/2006/relationships/worksheet" Target="/xl/worksheets/sheet3.xml" Id="Rb9ca8e891cdb492c" /><Relationship Type="http://schemas.openxmlformats.org/officeDocument/2006/relationships/worksheet" Target="/xl/worksheets/sheet4.xml" Id="R76303c65539b42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d943aa34684998" /><Relationship Type="http://schemas.openxmlformats.org/officeDocument/2006/relationships/chart" Target="/xl/drawings/charts/chart2.xml" Id="Rb2861fc542b240a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Performance Score</c:v>
          </c:tx>
          <c:cat>
            <c:strRef>
              <c:f>'Executive Dashboard'!$A$10:$A$14</c:f>
              <c:strCache>
                <c:ptCount val="0"/>
              </c:strCache>
            </c:strRef>
          </c:cat>
          <c:val>
            <c:numRef>
              <c:f>'Executive Dashboard'!$F$10:$F$14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Forecast Variance</c:v>
          </c:tx>
          <c:cat>
            <c:strRef>
              <c:f>'Executive Dashboard'!$A$10:$A$14</c:f>
              <c:strCache>
                <c:ptCount val="0"/>
              </c:strCache>
            </c:strRef>
          </c:cat>
          <c:val>
            <c:numRef>
              <c:f>'Executive Dashboard'!$D$10:$D$14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d943aa34684998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861fc542b240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asContracts" displayName="GasContracts" ref="A1:V41" headerRowCount="1" totalsRowCount="0" totalsRowShown="0">
  <x:tableColumns count="22">
    <x:tableColumn id="1" name="Project ID"/>
    <x:tableColumn id="2" name="Town"/>
    <x:tableColumn id="3" name="Project Type"/>
    <x:tableColumn id="4" name="Contractor"/>
    <x:tableColumn id="5" name="Start Date"/>
    <x:tableColumn id="6" name="Planned Finish"/>
    <x:tableColumn id="7" name="Original Contract"/>
    <x:tableColumn id="8" name="Change Orders"/>
    <x:tableColumn id="9" name="Approved Contract"/>
    <x:tableColumn id="10" name="Actual Cost to Date"/>
    <x:tableColumn id="11" name="Forecast at Completion"/>
    <x:tableColumn id="12" name="Schedule Variance (Days)"/>
    <x:tableColumn id="13" name="Safety Incidents"/>
    <x:tableColumn id="14" name="Quality Issues"/>
    <x:tableColumn id="15" name="Avg Invoice Cycle (Days)"/>
    <x:tableColumn id="16" name="Milestone % Complete"/>
    <x:tableColumn id="17" name="Risk Score"/>
    <x:tableColumn id="18" name="Status"/>
    <x:tableColumn id="19" name="Change Order %"/>
    <x:tableColumn id="20" name="Forecast Variance $"/>
    <x:tableColumn id="21" name="Forecast Variance %"/>
    <x:tableColumn id="22" name="Performance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0647ba867044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0259941cdc24a3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9" hidden="0" customWidth="1"/>
    <x:col min="5" max="5" width="13" hidden="0" customWidth="1"/>
    <x:col min="6" max="6" width="13" hidden="0" customWidth="1"/>
    <x:col min="7" max="7" width="16" hidden="0" customWidth="1"/>
    <x:col min="8" max="8" width="14" hidden="0" customWidth="1"/>
    <x:col min="9" max="9" width="16" hidden="0" customWidth="1"/>
    <x:col min="10" max="10" width="17" hidden="0" customWidth="1"/>
    <x:col min="11" max="11" width="18" hidden="0" customWidth="1"/>
    <x:col min="12" max="12" width="16" hidden="0" customWidth="1"/>
    <x:col min="13" max="13" width="13" hidden="0" customWidth="1"/>
    <x:col min="14" max="14" width="12" hidden="0" customWidth="1"/>
    <x:col min="15" max="15" width="18" hidden="0" customWidth="1"/>
    <x:col min="16" max="16" width="14" hidden="0" customWidth="1"/>
    <x:col min="17" max="17" width="11" hidden="0" customWidth="1"/>
    <x:col min="18" max="18" width="12" hidden="0" customWidth="1"/>
    <x:col min="19" max="19" width="13" hidden="0" customWidth="1"/>
    <x:col min="20" max="20" width="16" hidden="0" customWidth="1"/>
    <x:col min="21" max="21" width="15" hidden="0" customWidth="1"/>
    <x:col min="22" max="22" width="16" hidden="0" customWidth="1"/>
  </x:cols>
  <x:sheetData>
    <x:row r="1">
      <x:c r="A1" s="6" t="str">
        <x:v>Project ID</x:v>
      </x:c>
      <x:c r="B1" s="6" t="str">
        <x:v>Town</x:v>
      </x:c>
      <x:c r="C1" s="6" t="str">
        <x:v>Project Type</x:v>
      </x:c>
      <x:c r="D1" s="6" t="str">
        <x:v>Contractor</x:v>
      </x:c>
      <x:c r="E1" s="6" t="str">
        <x:v>Start Date</x:v>
      </x:c>
      <x:c r="F1" s="6" t="str">
        <x:v>Planned Finish</x:v>
      </x:c>
      <x:c r="G1" s="6" t="str">
        <x:v>Original Contract</x:v>
      </x:c>
      <x:c r="H1" s="6" t="str">
        <x:v>Change Orders</x:v>
      </x:c>
      <x:c r="I1" s="6" t="str">
        <x:v>Approved Contract</x:v>
      </x:c>
      <x:c r="J1" s="6" t="str">
        <x:v>Actual Cost to Date</x:v>
      </x:c>
      <x:c r="K1" s="6" t="str">
        <x:v>Forecast at Completion</x:v>
      </x:c>
      <x:c r="L1" s="6" t="str">
        <x:v>Schedule Variance (Days)</x:v>
      </x:c>
      <x:c r="M1" s="6" t="str">
        <x:v>Safety Incidents</x:v>
      </x:c>
      <x:c r="N1" s="6" t="str">
        <x:v>Quality Issues</x:v>
      </x:c>
      <x:c r="O1" s="6" t="str">
        <x:v>Avg Invoice Cycle (Days)</x:v>
      </x:c>
      <x:c r="P1" s="6" t="str">
        <x:v>Milestone % Complete</x:v>
      </x:c>
      <x:c r="Q1" s="6" t="str">
        <x:v>Risk Score</x:v>
      </x:c>
      <x:c r="R1" s="6" t="str">
        <x:v>Status</x:v>
      </x:c>
      <x:c r="S1" s="6" t="str">
        <x:v>Change Order %</x:v>
      </x:c>
      <x:c r="T1" s="6" t="str">
        <x:v>Forecast Variance $</x:v>
      </x:c>
      <x:c r="U1" s="6" t="str">
        <x:v>Forecast Variance %</x:v>
      </x:c>
      <x:c r="V1" s="6" t="str">
        <x:v>Performance Score</x:v>
      </x:c>
    </x:row>
    <x:row r="2">
      <x:c r="A2" t="str">
        <x:v>GCP-001</x:v>
      </x:c>
      <x:c r="B2" t="str">
        <x:v>Braintree</x:v>
      </x:c>
      <x:c r="C2" t="str">
        <x:v>Gate Station Upgrade</x:v>
      </x:c>
      <x:c r="D2" t="str">
        <x:v>Atlantic Utility Constructors</x:v>
      </x:c>
      <x:c r="E2" s="12" t="n">
        <x:v>46035</x:v>
      </x:c>
      <x:c r="F2" s="12" t="n">
        <x:v>46087</x:v>
      </x:c>
      <x:c r="G2" s="14" t="n">
        <x:v>1489000</x:v>
      </x:c>
      <x:c r="H2" s="14" t="n">
        <x:v>215000</x:v>
      </x:c>
      <x:c r="I2" s="14" t="n">
        <x:v>1704000</x:v>
      </x:c>
      <x:c r="J2" s="14" t="n">
        <x:v>1588000</x:v>
      </x:c>
      <x:c r="K2" s="14" t="n">
        <x:v>1765000</x:v>
      </x:c>
      <x:c r="L2" t="n">
        <x:v>3</x:v>
      </x:c>
      <x:c r="M2" t="n">
        <x:v>1</x:v>
      </x:c>
      <x:c r="N2" t="n">
        <x:v>1</x:v>
      </x:c>
      <x:c r="O2" t="n">
        <x:v>5</x:v>
      </x:c>
      <x:c r="P2" s="16" t="n">
        <x:v>0.93</x:v>
      </x:c>
      <x:c r="Q2" t="n">
        <x:v>24</x:v>
      </x:c>
      <x:c r="R2" t="str">
        <x:v>On Track</x:v>
      </x:c>
      <x:c r="S2" s="16" t="n">
        <x:f>IFERROR(H2/G2,0)</x:f>
        <x:v>0.14439220953660176</x:v>
      </x:c>
      <x:c r="T2" s="14" t="n">
        <x:f>K2-I2</x:f>
        <x:v>61000</x:v>
      </x:c>
      <x:c r="U2" s="16" t="n">
        <x:f>IFERROR(T2/I2,0)</x:f>
        <x:v>0.0357981220657277</x:v>
      </x:c>
      <x:c r="V2" t="n">
        <x:f>MAX(0,100-(MAX(0,U2)*180)-(MAX(0,-L2)*1.2)-(M2*12)-(N2*6)-(MAX(0,O2-15)))</x:f>
        <x:v>75.55633802816901</x:v>
      </x:c>
    </x:row>
    <x:row r="3">
      <x:c r="A3" t="str">
        <x:v>GCP-002</x:v>
      </x:c>
      <x:c r="B3" t="str">
        <x:v>Brockton</x:v>
      </x:c>
      <x:c r="C3" t="str">
        <x:v>Pressure Improvement</x:v>
      </x:c>
      <x:c r="D3" t="str">
        <x:v>Bay State Infrastructure</x:v>
      </x:c>
      <x:c r="E3" s="12" t="n">
        <x:v>46234</x:v>
      </x:c>
      <x:c r="F3" s="12" t="n">
        <x:v>46280</x:v>
      </x:c>
      <x:c r="G3" s="14" t="n">
        <x:v>371000</x:v>
      </x:c>
      <x:c r="H3" s="14" t="n">
        <x:v>33000</x:v>
      </x:c>
      <x:c r="I3" s="14" t="n">
        <x:v>404000</x:v>
      </x:c>
      <x:c r="J3" s="14" t="n">
        <x:v>385000</x:v>
      </x:c>
      <x:c r="K3" s="14" t="n">
        <x:v>434000</x:v>
      </x:c>
      <x:c r="L3" t="n">
        <x:v>-3</x:v>
      </x:c>
      <x:c r="M3" t="n">
        <x:v>0</x:v>
      </x:c>
      <x:c r="N3" t="n">
        <x:v>0</x:v>
      </x:c>
      <x:c r="O3" t="n">
        <x:v>14</x:v>
      </x:c>
      <x:c r="P3" s="16" t="n">
        <x:v>1</x:v>
      </x:c>
      <x:c r="Q3" t="n">
        <x:v>17</x:v>
      </x:c>
      <x:c r="R3" t="str">
        <x:v>Complete</x:v>
      </x:c>
      <x:c r="S3" s="16" t="n">
        <x:f>IFERROR(H3/G3,0)</x:f>
        <x:v>0.0889487870619946</x:v>
      </x:c>
      <x:c r="T3" s="14" t="n">
        <x:f>K3-I3</x:f>
        <x:v>30000</x:v>
      </x:c>
      <x:c r="U3" s="16" t="n">
        <x:f>IFERROR(T3/I3,0)</x:f>
        <x:v>0.07425742574257425</x:v>
      </x:c>
      <x:c r="V3" t="n">
        <x:f>MAX(0,100-(MAX(0,U3)*180)-(MAX(0,-L3)*1.2)-(M3*12)-(N3*6)-(MAX(0,O3-15)))</x:f>
        <x:v>83.03366336633664</x:v>
      </x:c>
    </x:row>
    <x:row r="4">
      <x:c r="A4" t="str">
        <x:v>GCP-003</x:v>
      </x:c>
      <x:c r="B4" t="str">
        <x:v>Dedham</x:v>
      </x:c>
      <x:c r="C4" t="str">
        <x:v>Regulator Station</x:v>
      </x:c>
      <x:c r="D4" t="str">
        <x:v>Northeast Pipeline Services</x:v>
      </x:c>
      <x:c r="E4" s="12" t="n">
        <x:v>46115</x:v>
      </x:c>
      <x:c r="F4" s="12" t="n">
        <x:v>46227</x:v>
      </x:c>
      <x:c r="G4" s="14" t="n">
        <x:v>1734000</x:v>
      </x:c>
      <x:c r="H4" s="14" t="n">
        <x:v>181000</x:v>
      </x:c>
      <x:c r="I4" s="14" t="n">
        <x:v>1915000</x:v>
      </x:c>
      <x:c r="J4" s="14" t="n">
        <x:v>822000</x:v>
      </x:c>
      <x:c r="K4" s="14" t="n">
        <x:v>1946000</x:v>
      </x:c>
      <x:c r="L4" t="n">
        <x:v>2</x:v>
      </x:c>
      <x:c r="M4" t="n">
        <x:v>0</x:v>
      </x:c>
      <x:c r="N4" t="n">
        <x:v>0</x:v>
      </x:c>
      <x:c r="O4" t="n">
        <x:v>15</x:v>
      </x:c>
      <x:c r="P4" s="16" t="n">
        <x:v>0.47</x:v>
      </x:c>
      <x:c r="Q4" t="n">
        <x:v>3</x:v>
      </x:c>
      <x:c r="R4" t="str">
        <x:v>On Track</x:v>
      </x:c>
      <x:c r="S4" s="16" t="n">
        <x:f>IFERROR(H4/G4,0)</x:f>
        <x:v>0.10438292964244521</x:v>
      </x:c>
      <x:c r="T4" s="14" t="n">
        <x:f>K4-I4</x:f>
        <x:v>31000</x:v>
      </x:c>
      <x:c r="U4" s="16" t="n">
        <x:f>IFERROR(T4/I4,0)</x:f>
        <x:v>0.01618798955613577</x:v>
      </x:c>
      <x:c r="V4" t="n">
        <x:f>MAX(0,100-(MAX(0,U4)*180)-(MAX(0,-L4)*1.2)-(M4*12)-(N4*6)-(MAX(0,O4-15)))</x:f>
        <x:v>97.08616187989556</x:v>
      </x:c>
    </x:row>
    <x:row r="5">
      <x:c r="A5" t="str">
        <x:v>GCP-004</x:v>
      </x:c>
      <x:c r="B5" t="str">
        <x:v>Quincy</x:v>
      </x:c>
      <x:c r="C5" t="str">
        <x:v>Service Renewal</x:v>
      </x:c>
      <x:c r="D5" t="str">
        <x:v>Granite Civil &amp; Gas</x:v>
      </x:c>
      <x:c r="E5" s="12" t="n">
        <x:v>46174</x:v>
      </x:c>
      <x:c r="F5" s="12" t="n">
        <x:v>46268</x:v>
      </x:c>
      <x:c r="G5" s="14" t="n">
        <x:v>268000</x:v>
      </x:c>
      <x:c r="H5" s="14" t="n">
        <x:v>18000</x:v>
      </x:c>
      <x:c r="I5" s="14" t="n">
        <x:v>286000</x:v>
      </x:c>
      <x:c r="J5" s="14" t="n">
        <x:v>136000</x:v>
      </x:c>
      <x:c r="K5" s="14" t="n">
        <x:v>313000</x:v>
      </x:c>
      <x:c r="L5" t="n">
        <x:v>-6</x:v>
      </x:c>
      <x:c r="M5" t="n">
        <x:v>0</x:v>
      </x:c>
      <x:c r="N5" t="n">
        <x:v>0</x:v>
      </x:c>
      <x:c r="O5" t="n">
        <x:v>4</x:v>
      </x:c>
      <x:c r="P5" s="16" t="n">
        <x:v>0.39</x:v>
      </x:c>
      <x:c r="Q5" t="n">
        <x:v>24</x:v>
      </x:c>
      <x:c r="R5" t="str">
        <x:v>On Track</x:v>
      </x:c>
      <x:c r="S5" s="16" t="n">
        <x:f>IFERROR(H5/G5,0)</x:f>
        <x:v>0.06716417910447761</x:v>
      </x:c>
      <x:c r="T5" s="14" t="n">
        <x:f>K5-I5</x:f>
        <x:v>27000</x:v>
      </x:c>
      <x:c r="U5" s="16" t="n">
        <x:f>IFERROR(T5/I5,0)</x:f>
        <x:v>0.0944055944055944</x:v>
      </x:c>
      <x:c r="V5" t="n">
        <x:f>MAX(0,100-(MAX(0,U5)*180)-(MAX(0,-L5)*1.2)-(M5*12)-(N5*6)-(MAX(0,O5-15)))</x:f>
        <x:v>75.80699300699301</x:v>
      </x:c>
    </x:row>
    <x:row r="6">
      <x:c r="A6" t="str">
        <x:v>GCP-005</x:v>
      </x:c>
      <x:c r="B6" t="str">
        <x:v>Lowell</x:v>
      </x:c>
      <x:c r="C6" t="str">
        <x:v>Main Replacement</x:v>
      </x:c>
      <x:c r="D6" t="str">
        <x:v>Commonwealth Energy Contractors</x:v>
      </x:c>
      <x:c r="E6" s="12" t="n">
        <x:v>46120</x:v>
      </x:c>
      <x:c r="F6" s="12" t="n">
        <x:v>46206</x:v>
      </x:c>
      <x:c r="G6" s="14" t="n">
        <x:v>1622000</x:v>
      </x:c>
      <x:c r="H6" s="14" t="n">
        <x:v>241000</x:v>
      </x:c>
      <x:c r="I6" s="14" t="n">
        <x:v>1863000</x:v>
      </x:c>
      <x:c r="J6" s="14" t="n">
        <x:v>1573000</x:v>
      </x:c>
      <x:c r="K6" s="14" t="n">
        <x:v>1975000</x:v>
      </x:c>
      <x:c r="L6" t="n">
        <x:v>-38</x:v>
      </x:c>
      <x:c r="M6" t="n">
        <x:v>1</x:v>
      </x:c>
      <x:c r="N6" t="n">
        <x:v>0</x:v>
      </x:c>
      <x:c r="O6" t="n">
        <x:v>8</x:v>
      </x:c>
      <x:c r="P6" s="16" t="n">
        <x:v>0.93</x:v>
      </x:c>
      <x:c r="Q6" t="n">
        <x:v>68</x:v>
      </x:c>
      <x:c r="R6" t="str">
        <x:v>At Risk</x:v>
      </x:c>
      <x:c r="S6" s="16" t="n">
        <x:f>IFERROR(H6/G6,0)</x:f>
        <x:v>0.14858199753390874</x:v>
      </x:c>
      <x:c r="T6" s="14" t="n">
        <x:f>K6-I6</x:f>
        <x:v>112000</x:v>
      </x:c>
      <x:c r="U6" s="16" t="n">
        <x:f>IFERROR(T6/I6,0)</x:f>
        <x:v>0.06011808910359635</x:v>
      </x:c>
      <x:c r="V6" t="n">
        <x:f>MAX(0,100-(MAX(0,U6)*180)-(MAX(0,-L6)*1.2)-(M6*12)-(N6*6)-(MAX(0,O6-15)))</x:f>
        <x:v>31.57874396135265</x:v>
      </x:c>
    </x:row>
    <x:row r="7">
      <x:c r="A7" t="str">
        <x:v>GCP-006</x:v>
      </x:c>
      <x:c r="B7" t="str">
        <x:v>Medford</x:v>
      </x:c>
      <x:c r="C7" t="str">
        <x:v>Gate Station Upgrade</x:v>
      </x:c>
      <x:c r="D7" t="str">
        <x:v>Atlantic Utility Constructors</x:v>
      </x:c>
      <x:c r="E7" s="12" t="n">
        <x:v>46145</x:v>
      </x:c>
      <x:c r="F7" s="12" t="n">
        <x:v>46287</x:v>
      </x:c>
      <x:c r="G7" s="14" t="n">
        <x:v>938000</x:v>
      </x:c>
      <x:c r="H7" s="14" t="n">
        <x:v>23000</x:v>
      </x:c>
      <x:c r="I7" s="14" t="n">
        <x:v>961000</x:v>
      </x:c>
      <x:c r="J7" s="14" t="n">
        <x:v>918000</x:v>
      </x:c>
      <x:c r="K7" s="14" t="n">
        <x:v>969000</x:v>
      </x:c>
      <x:c r="L7" t="n">
        <x:v>-21</x:v>
      </x:c>
      <x:c r="M7" t="n">
        <x:v>1</x:v>
      </x:c>
      <x:c r="N7" t="n">
        <x:v>1</x:v>
      </x:c>
      <x:c r="O7" t="n">
        <x:v>8</x:v>
      </x:c>
      <x:c r="P7" s="16" t="n">
        <x:v>0.97</x:v>
      </x:c>
      <x:c r="Q7" t="n">
        <x:v>45</x:v>
      </x:c>
      <x:c r="R7" t="str">
        <x:v>Watch</x:v>
      </x:c>
      <x:c r="S7" s="16" t="n">
        <x:f>IFERROR(H7/G7,0)</x:f>
        <x:v>0.024520255863539446</x:v>
      </x:c>
      <x:c r="T7" s="14" t="n">
        <x:f>K7-I7</x:f>
        <x:v>8000</x:v>
      </x:c>
      <x:c r="U7" s="16" t="n">
        <x:f>IFERROR(T7/I7,0)</x:f>
        <x:v>0.008324661810613945</x:v>
      </x:c>
      <x:c r="V7" t="n">
        <x:f>MAX(0,100-(MAX(0,U7)*180)-(MAX(0,-L7)*1.2)-(M7*12)-(N7*6)-(MAX(0,O7-15)))</x:f>
        <x:v>55.30156087408949</x:v>
      </x:c>
    </x:row>
    <x:row r="8">
      <x:c r="A8" t="str">
        <x:v>GCP-007</x:v>
      </x:c>
      <x:c r="B8" t="str">
        <x:v>Newton</x:v>
      </x:c>
      <x:c r="C8" t="str">
        <x:v>Pressure Improvement</x:v>
      </x:c>
      <x:c r="D8" t="str">
        <x:v>Bay State Infrastructure</x:v>
      </x:c>
      <x:c r="E8" s="12" t="n">
        <x:v>46081</x:v>
      </x:c>
      <x:c r="F8" s="12" t="n">
        <x:v>46206</x:v>
      </x:c>
      <x:c r="G8" s="14" t="n">
        <x:v>732000</x:v>
      </x:c>
      <x:c r="H8" s="14" t="n">
        <x:v>249000</x:v>
      </x:c>
      <x:c r="I8" s="14" t="n">
        <x:v>981000</x:v>
      </x:c>
      <x:c r="J8" s="14" t="n">
        <x:v>688000</x:v>
      </x:c>
      <x:c r="K8" s="14" t="n">
        <x:v>970000</x:v>
      </x:c>
      <x:c r="L8" t="n">
        <x:v>-40</x:v>
      </x:c>
      <x:c r="M8" t="n">
        <x:v>0</x:v>
      </x:c>
      <x:c r="N8" t="n">
        <x:v>0</x:v>
      </x:c>
      <x:c r="O8" t="n">
        <x:v>11</x:v>
      </x:c>
      <x:c r="P8" s="16" t="n">
        <x:v>0.78</x:v>
      </x:c>
      <x:c r="Q8" t="n">
        <x:v>48</x:v>
      </x:c>
      <x:c r="R8" t="str">
        <x:v>Watch</x:v>
      </x:c>
      <x:c r="S8" s="16" t="n">
        <x:f>IFERROR(H8/G8,0)</x:f>
        <x:v>0.3401639344262295</x:v>
      </x:c>
      <x:c r="T8" s="14" t="n">
        <x:f>K8-I8</x:f>
        <x:v>-11000</x:v>
      </x:c>
      <x:c r="U8" s="16" t="n">
        <x:f>IFERROR(T8/I8,0)</x:f>
        <x:v>-0.011213047910295617</x:v>
      </x:c>
      <x:c r="V8" t="n">
        <x:f>MAX(0,100-(MAX(0,U8)*180)-(MAX(0,-L8)*1.2)-(M8*12)-(N8*6)-(MAX(0,O8-15)))</x:f>
        <x:v>52</x:v>
      </x:c>
    </x:row>
    <x:row r="9">
      <x:c r="A9" t="str">
        <x:v>GCP-008</x:v>
      </x:c>
      <x:c r="B9" t="str">
        <x:v>Worcester</x:v>
      </x:c>
      <x:c r="C9" t="str">
        <x:v>Regulator Station</x:v>
      </x:c>
      <x:c r="D9" t="str">
        <x:v>Northeast Pipeline Services</x:v>
      </x:c>
      <x:c r="E9" s="12" t="n">
        <x:v>46176</x:v>
      </x:c>
      <x:c r="F9" s="12" t="n">
        <x:v>46330</x:v>
      </x:c>
      <x:c r="G9" s="14" t="n">
        <x:v>615000</x:v>
      </x:c>
      <x:c r="H9" s="14" t="n">
        <x:v>27000</x:v>
      </x:c>
      <x:c r="I9" s="14" t="n">
        <x:v>642000</x:v>
      </x:c>
      <x:c r="J9" s="14" t="n">
        <x:v>355000</x:v>
      </x:c>
      <x:c r="K9" s="14" t="n">
        <x:v>701000</x:v>
      </x:c>
      <x:c r="L9" t="n">
        <x:v>-11</x:v>
      </x:c>
      <x:c r="M9" t="n">
        <x:v>0</x:v>
      </x:c>
      <x:c r="N9" t="n">
        <x:v>1</x:v>
      </x:c>
      <x:c r="O9" t="n">
        <x:v>8</x:v>
      </x:c>
      <x:c r="P9" s="16" t="n">
        <x:v>0.56</x:v>
      </x:c>
      <x:c r="Q9" t="n">
        <x:v>36</x:v>
      </x:c>
      <x:c r="R9" t="str">
        <x:v>Watch</x:v>
      </x:c>
      <x:c r="S9" s="16" t="n">
        <x:f>IFERROR(H9/G9,0)</x:f>
        <x:v>0.04390243902439024</x:v>
      </x:c>
      <x:c r="T9" s="14" t="n">
        <x:f>K9-I9</x:f>
        <x:v>59000</x:v>
      </x:c>
      <x:c r="U9" s="16" t="n">
        <x:f>IFERROR(T9/I9,0)</x:f>
        <x:v>0.09190031152647975</x:v>
      </x:c>
      <x:c r="V9" t="n">
        <x:f>MAX(0,100-(MAX(0,U9)*180)-(MAX(0,-L9)*1.2)-(M9*12)-(N9*6)-(MAX(0,O9-15)))</x:f>
        <x:v>64.25794392523365</x:v>
      </x:c>
    </x:row>
    <x:row r="10">
      <x:c r="A10" t="str">
        <x:v>GCP-009</x:v>
      </x:c>
      <x:c r="B10" t="str">
        <x:v>Somerville</x:v>
      </x:c>
      <x:c r="C10" t="str">
        <x:v>Service Renewal</x:v>
      </x:c>
      <x:c r="D10" t="str">
        <x:v>Granite Civil &amp; Gas</x:v>
      </x:c>
      <x:c r="E10" s="12" t="n">
        <x:v>46229</x:v>
      </x:c>
      <x:c r="F10" s="12" t="n">
        <x:v>46382</x:v>
      </x:c>
      <x:c r="G10" s="14" t="n">
        <x:v>1375000</x:v>
      </x:c>
      <x:c r="H10" s="14" t="n">
        <x:v>60000</x:v>
      </x:c>
      <x:c r="I10" s="14" t="n">
        <x:v>1435000</x:v>
      </x:c>
      <x:c r="J10" s="14" t="n">
        <x:v>1153000</x:v>
      </x:c>
      <x:c r="K10" s="14" t="n">
        <x:v>1588000</x:v>
      </x:c>
      <x:c r="L10" t="n">
        <x:v>-4</x:v>
      </x:c>
      <x:c r="M10" t="n">
        <x:v>0</x:v>
      </x:c>
      <x:c r="N10" t="n">
        <x:v>0</x:v>
      </x:c>
      <x:c r="O10" t="n">
        <x:v>19</x:v>
      </x:c>
      <x:c r="P10" s="16" t="n">
        <x:v>0.9</x:v>
      </x:c>
      <x:c r="Q10" t="n">
        <x:v>28</x:v>
      </x:c>
      <x:c r="R10" t="str">
        <x:v>On Track</x:v>
      </x:c>
      <x:c r="S10" s="16" t="n">
        <x:f>IFERROR(H10/G10,0)</x:f>
        <x:v>0.04363636363636364</x:v>
      </x:c>
      <x:c r="T10" s="14" t="n">
        <x:f>K10-I10</x:f>
        <x:v>153000</x:v>
      </x:c>
      <x:c r="U10" s="16" t="n">
        <x:f>IFERROR(T10/I10,0)</x:f>
        <x:v>0.10662020905923345</x:v>
      </x:c>
      <x:c r="V10" t="n">
        <x:f>MAX(0,100-(MAX(0,U10)*180)-(MAX(0,-L10)*1.2)-(M10*12)-(N10*6)-(MAX(0,O10-15)))</x:f>
        <x:v>72.00836236933799</x:v>
      </x:c>
    </x:row>
    <x:row r="11">
      <x:c r="A11" t="str">
        <x:v>GCP-010</x:v>
      </x:c>
      <x:c r="B11" t="str">
        <x:v>Waltham</x:v>
      </x:c>
      <x:c r="C11" t="str">
        <x:v>Main Replacement</x:v>
      </x:c>
      <x:c r="D11" t="str">
        <x:v>Commonwealth Energy Contractors</x:v>
      </x:c>
      <x:c r="E11" s="12" t="n">
        <x:v>46201</x:v>
      </x:c>
      <x:c r="F11" s="12" t="n">
        <x:v>46314</x:v>
      </x:c>
      <x:c r="G11" s="14" t="n">
        <x:v>1401000</x:v>
      </x:c>
      <x:c r="H11" s="14" t="n">
        <x:v>175000</x:v>
      </x:c>
      <x:c r="I11" s="14" t="n">
        <x:v>1576000</x:v>
      </x:c>
      <x:c r="J11" s="14" t="n">
        <x:v>1255000</x:v>
      </x:c>
      <x:c r="K11" s="14" t="n">
        <x:v>1747000</x:v>
      </x:c>
      <x:c r="L11" t="n">
        <x:v>-4</x:v>
      </x:c>
      <x:c r="M11" t="n">
        <x:v>1</x:v>
      </x:c>
      <x:c r="N11" t="n">
        <x:v>0</x:v>
      </x:c>
      <x:c r="O11" t="n">
        <x:v>22</x:v>
      </x:c>
      <x:c r="P11" s="16" t="n">
        <x:v>0.83</x:v>
      </x:c>
      <x:c r="Q11" t="n">
        <x:v>43</x:v>
      </x:c>
      <x:c r="R11" t="str">
        <x:v>Watch</x:v>
      </x:c>
      <x:c r="S11" s="16" t="n">
        <x:f>IFERROR(H11/G11,0)</x:f>
        <x:v>0.12491077801570306</x:v>
      </x:c>
      <x:c r="T11" s="14" t="n">
        <x:f>K11-I11</x:f>
        <x:v>171000</x:v>
      </x:c>
      <x:c r="U11" s="16" t="n">
        <x:f>IFERROR(T11/I11,0)</x:f>
        <x:v>0.108502538071066</x:v>
      </x:c>
      <x:c r="V11" t="n">
        <x:f>MAX(0,100-(MAX(0,U11)*180)-(MAX(0,-L11)*1.2)-(M11*12)-(N11*6)-(MAX(0,O11-15)))</x:f>
        <x:v>56.66954314720813</x:v>
      </x:c>
    </x:row>
    <x:row r="12">
      <x:c r="A12" t="str">
        <x:v>GCP-011</x:v>
      </x:c>
      <x:c r="B12" t="str">
        <x:v>Braintree</x:v>
      </x:c>
      <x:c r="C12" t="str">
        <x:v>Gate Station Upgrade</x:v>
      </x:c>
      <x:c r="D12" t="str">
        <x:v>Atlantic Utility Constructors</x:v>
      </x:c>
      <x:c r="E12" s="12" t="n">
        <x:v>46072</x:v>
      </x:c>
      <x:c r="F12" s="12" t="n">
        <x:v>46246</x:v>
      </x:c>
      <x:c r="G12" s="14" t="n">
        <x:v>1754000</x:v>
      </x:c>
      <x:c r="H12" s="14" t="n">
        <x:v>102000</x:v>
      </x:c>
      <x:c r="I12" s="14" t="n">
        <x:v>1856000</x:v>
      </x:c>
      <x:c r="J12" s="14" t="n">
        <x:v>1197000</x:v>
      </x:c>
      <x:c r="K12" s="14" t="n">
        <x:v>1809000</x:v>
      </x:c>
      <x:c r="L12" t="n">
        <x:v>1</x:v>
      </x:c>
      <x:c r="M12" t="n">
        <x:v>1</x:v>
      </x:c>
      <x:c r="N12" t="n">
        <x:v>0</x:v>
      </x:c>
      <x:c r="O12" t="n">
        <x:v>12</x:v>
      </x:c>
      <x:c r="P12" s="16" t="n">
        <x:v>0.76</x:v>
      </x:c>
      <x:c r="Q12" t="n">
        <x:v>12</x:v>
      </x:c>
      <x:c r="R12" t="str">
        <x:v>On Track</x:v>
      </x:c>
      <x:c r="S12" s="16" t="n">
        <x:f>IFERROR(H12/G12,0)</x:f>
        <x:v>0.05815279361459521</x:v>
      </x:c>
      <x:c r="T12" s="14" t="n">
        <x:f>K12-I12</x:f>
        <x:v>-47000</x:v>
      </x:c>
      <x:c r="U12" s="16" t="n">
        <x:f>IFERROR(T12/I12,0)</x:f>
        <x:v>-0.025323275862068964</x:v>
      </x:c>
      <x:c r="V12" t="n">
        <x:f>MAX(0,100-(MAX(0,U12)*180)-(MAX(0,-L12)*1.2)-(M12*12)-(N12*6)-(MAX(0,O12-15)))</x:f>
        <x:v>88</x:v>
      </x:c>
    </x:row>
    <x:row r="13">
      <x:c r="A13" t="str">
        <x:v>GCP-012</x:v>
      </x:c>
      <x:c r="B13" t="str">
        <x:v>Brockton</x:v>
      </x:c>
      <x:c r="C13" t="str">
        <x:v>Pressure Improvement</x:v>
      </x:c>
      <x:c r="D13" t="str">
        <x:v>Bay State Infrastructure</x:v>
      </x:c>
      <x:c r="E13" s="12" t="n">
        <x:v>46162</x:v>
      </x:c>
      <x:c r="F13" s="12" t="n">
        <x:v>46207</x:v>
      </x:c>
      <x:c r="G13" s="14" t="n">
        <x:v>397000</x:v>
      </x:c>
      <x:c r="H13" s="14" t="n">
        <x:v>42000</x:v>
      </x:c>
      <x:c r="I13" s="14" t="n">
        <x:v>439000</x:v>
      </x:c>
      <x:c r="J13" s="14" t="n">
        <x:v>262000</x:v>
      </x:c>
      <x:c r="K13" s="14" t="n">
        <x:v>431000</x:v>
      </x:c>
      <x:c r="L13" t="n">
        <x:v>-17</x:v>
      </x:c>
      <x:c r="M13" t="n">
        <x:v>0</x:v>
      </x:c>
      <x:c r="N13" t="n">
        <x:v>1</x:v>
      </x:c>
      <x:c r="O13" t="n">
        <x:v>3</x:v>
      </x:c>
      <x:c r="P13" s="16" t="n">
        <x:v>0.59</x:v>
      </x:c>
      <x:c r="Q13" t="n">
        <x:v>26</x:v>
      </x:c>
      <x:c r="R13" t="str">
        <x:v>On Track</x:v>
      </x:c>
      <x:c r="S13" s="16" t="n">
        <x:f>IFERROR(H13/G13,0)</x:f>
        <x:v>0.10579345088161209</x:v>
      </x:c>
      <x:c r="T13" s="14" t="n">
        <x:f>K13-I13</x:f>
        <x:v>-8000</x:v>
      </x:c>
      <x:c r="U13" s="16" t="n">
        <x:f>IFERROR(T13/I13,0)</x:f>
        <x:v>-0.018223234624145785</x:v>
      </x:c>
      <x:c r="V13" t="n">
        <x:f>MAX(0,100-(MAX(0,U13)*180)-(MAX(0,-L13)*1.2)-(M13*12)-(N13*6)-(MAX(0,O13-15)))</x:f>
        <x:v>73.6</x:v>
      </x:c>
    </x:row>
    <x:row r="14">
      <x:c r="A14" t="str">
        <x:v>GCP-013</x:v>
      </x:c>
      <x:c r="B14" t="str">
        <x:v>Dedham</x:v>
      </x:c>
      <x:c r="C14" t="str">
        <x:v>Regulator Station</x:v>
      </x:c>
      <x:c r="D14" t="str">
        <x:v>Northeast Pipeline Services</x:v>
      </x:c>
      <x:c r="E14" s="12" t="n">
        <x:v>46047</x:v>
      </x:c>
      <x:c r="F14" s="12" t="n">
        <x:v>46113</x:v>
      </x:c>
      <x:c r="G14" s="14" t="n">
        <x:v>1406000</x:v>
      </x:c>
      <x:c r="H14" s="14" t="n">
        <x:v>99000</x:v>
      </x:c>
      <x:c r="I14" s="14" t="n">
        <x:v>1505000</x:v>
      </x:c>
      <x:c r="J14" s="14" t="n">
        <x:v>1137000</x:v>
      </x:c>
      <x:c r="K14" s="14" t="n">
        <x:v>1725000</x:v>
      </x:c>
      <x:c r="L14" t="n">
        <x:v>-15</x:v>
      </x:c>
      <x:c r="M14" t="n">
        <x:v>0</x:v>
      </x:c>
      <x:c r="N14" t="n">
        <x:v>0</x:v>
      </x:c>
      <x:c r="O14" t="n">
        <x:v>24</x:v>
      </x:c>
      <x:c r="P14" s="16" t="n">
        <x:v>0.84</x:v>
      </x:c>
      <x:c r="Q14" t="n">
        <x:v>53</x:v>
      </x:c>
      <x:c r="R14" t="str">
        <x:v>Watch</x:v>
      </x:c>
      <x:c r="S14" s="16" t="n">
        <x:f>IFERROR(H14/G14,0)</x:f>
        <x:v>0.07041251778093884</x:v>
      </x:c>
      <x:c r="T14" s="14" t="n">
        <x:f>K14-I14</x:f>
        <x:v>220000</x:v>
      </x:c>
      <x:c r="U14" s="16" t="n">
        <x:f>IFERROR(T14/I14,0)</x:f>
        <x:v>0.1461794019933555</x:v>
      </x:c>
      <x:c r="V14" t="n">
        <x:f>MAX(0,100-(MAX(0,U14)*180)-(MAX(0,-L14)*1.2)-(M14*12)-(N14*6)-(MAX(0,O14-15)))</x:f>
        <x:v>46.68770764119601</x:v>
      </x:c>
    </x:row>
    <x:row r="15">
      <x:c r="A15" t="str">
        <x:v>GCP-014</x:v>
      </x:c>
      <x:c r="B15" t="str">
        <x:v>Quincy</x:v>
      </x:c>
      <x:c r="C15" t="str">
        <x:v>Service Renewal</x:v>
      </x:c>
      <x:c r="D15" t="str">
        <x:v>Granite Civil &amp; Gas</x:v>
      </x:c>
      <x:c r="E15" s="12" t="n">
        <x:v>46081</x:v>
      </x:c>
      <x:c r="F15" s="12" t="n">
        <x:v>46177</x:v>
      </x:c>
      <x:c r="G15" s="14" t="n">
        <x:v>1678000</x:v>
      </x:c>
      <x:c r="H15" s="14" t="n">
        <x:v>446000</x:v>
      </x:c>
      <x:c r="I15" s="14" t="n">
        <x:v>2124000</x:v>
      </x:c>
      <x:c r="J15" s="14" t="n">
        <x:v>1543000</x:v>
      </x:c>
      <x:c r="K15" s="14" t="n">
        <x:v>2460000</x:v>
      </x:c>
      <x:c r="L15" t="n">
        <x:v>-39</x:v>
      </x:c>
      <x:c r="M15" t="n">
        <x:v>0</x:v>
      </x:c>
      <x:c r="N15" t="n">
        <x:v>0</x:v>
      </x:c>
      <x:c r="O15" t="n">
        <x:v>4</x:v>
      </x:c>
      <x:c r="P15" s="16" t="n">
        <x:v>0.73</x:v>
      </x:c>
      <x:c r="Q15" t="n">
        <x:v>75</x:v>
      </x:c>
      <x:c r="R15" t="str">
        <x:v>At Risk</x:v>
      </x:c>
      <x:c r="S15" s="16" t="n">
        <x:f>IFERROR(H15/G15,0)</x:f>
        <x:v>0.265792610250298</x:v>
      </x:c>
      <x:c r="T15" s="14" t="n">
        <x:f>K15-I15</x:f>
        <x:v>336000</x:v>
      </x:c>
      <x:c r="U15" s="16" t="n">
        <x:f>IFERROR(T15/I15,0)</x:f>
        <x:v>0.15819209039548024</x:v>
      </x:c>
      <x:c r="V15" t="n">
        <x:f>MAX(0,100-(MAX(0,U15)*180)-(MAX(0,-L15)*1.2)-(M15*12)-(N15*6)-(MAX(0,O15-15)))</x:f>
        <x:v>24.725423728813567</x:v>
      </x:c>
    </x:row>
    <x:row r="16">
      <x:c r="A16" t="str">
        <x:v>GCP-015</x:v>
      </x:c>
      <x:c r="B16" t="str">
        <x:v>Lowell</x:v>
      </x:c>
      <x:c r="C16" t="str">
        <x:v>Main Replacement</x:v>
      </x:c>
      <x:c r="D16" t="str">
        <x:v>Commonwealth Energy Contractors</x:v>
      </x:c>
      <x:c r="E16" s="12" t="n">
        <x:v>46177</x:v>
      </x:c>
      <x:c r="F16" s="12" t="n">
        <x:v>46280</x:v>
      </x:c>
      <x:c r="G16" s="14" t="n">
        <x:v>1640000</x:v>
      </x:c>
      <x:c r="H16" s="14" t="n">
        <x:v>12000</x:v>
      </x:c>
      <x:c r="I16" s="14" t="n">
        <x:v>1652000</x:v>
      </x:c>
      <x:c r="J16" s="14" t="n">
        <x:v>1784000</x:v>
      </x:c>
      <x:c r="K16" s="14" t="n">
        <x:v>1647000</x:v>
      </x:c>
      <x:c r="L16" t="n">
        <x:v>-14</x:v>
      </x:c>
      <x:c r="M16" t="n">
        <x:v>0</x:v>
      </x:c>
      <x:c r="N16" t="n">
        <x:v>0</x:v>
      </x:c>
      <x:c r="O16" t="n">
        <x:v>13</x:v>
      </x:c>
      <x:c r="P16" s="16" t="n">
        <x:v>1</x:v>
      </x:c>
      <x:c r="Q16" t="n">
        <x:v>17</x:v>
      </x:c>
      <x:c r="R16" t="str">
        <x:v>On Track</x:v>
      </x:c>
      <x:c r="S16" s="16" t="n">
        <x:f>IFERROR(H16/G16,0)</x:f>
        <x:v>0.007317073170731708</x:v>
      </x:c>
      <x:c r="T16" s="14" t="n">
        <x:f>K16-I16</x:f>
        <x:v>-5000</x:v>
      </x:c>
      <x:c r="U16" s="16" t="n">
        <x:f>IFERROR(T16/I16,0)</x:f>
        <x:v>-0.003026634382566586</x:v>
      </x:c>
      <x:c r="V16" t="n">
        <x:f>MAX(0,100-(MAX(0,U16)*180)-(MAX(0,-L16)*1.2)-(M16*12)-(N16*6)-(MAX(0,O16-15)))</x:f>
        <x:v>83.2</x:v>
      </x:c>
    </x:row>
    <x:row r="17">
      <x:c r="A17" t="str">
        <x:v>GCP-016</x:v>
      </x:c>
      <x:c r="B17" t="str">
        <x:v>Medford</x:v>
      </x:c>
      <x:c r="C17" t="str">
        <x:v>Gate Station Upgrade</x:v>
      </x:c>
      <x:c r="D17" t="str">
        <x:v>Atlantic Utility Constructors</x:v>
      </x:c>
      <x:c r="E17" s="12" t="n">
        <x:v>46198</x:v>
      </x:c>
      <x:c r="F17" s="12" t="n">
        <x:v>46367</x:v>
      </x:c>
      <x:c r="G17" s="14" t="n">
        <x:v>1385000</x:v>
      </x:c>
      <x:c r="H17" s="14" t="n">
        <x:v>109000</x:v>
      </x:c>
      <x:c r="I17" s="14" t="n">
        <x:v>1494000</x:v>
      </x:c>
      <x:c r="J17" s="14" t="n">
        <x:v>1188000</x:v>
      </x:c>
      <x:c r="K17" s="14" t="n">
        <x:v>1502000</x:v>
      </x:c>
      <x:c r="L17" t="n">
        <x:v>-10</x:v>
      </x:c>
      <x:c r="M17" t="n">
        <x:v>1</x:v>
      </x:c>
      <x:c r="N17" t="n">
        <x:v>0</x:v>
      </x:c>
      <x:c r="O17" t="n">
        <x:v>16</x:v>
      </x:c>
      <x:c r="P17" s="16" t="n">
        <x:v>0.85</x:v>
      </x:c>
      <x:c r="Q17" t="n">
        <x:v>26</x:v>
      </x:c>
      <x:c r="R17" t="str">
        <x:v>On Track</x:v>
      </x:c>
      <x:c r="S17" s="16" t="n">
        <x:f>IFERROR(H17/G17,0)</x:f>
        <x:v>0.07870036101083032</x:v>
      </x:c>
      <x:c r="T17" s="14" t="n">
        <x:f>K17-I17</x:f>
        <x:v>8000</x:v>
      </x:c>
      <x:c r="U17" s="16" t="n">
        <x:f>IFERROR(T17/I17,0)</x:f>
        <x:v>0.00535475234270415</x:v>
      </x:c>
      <x:c r="V17" t="n">
        <x:f>MAX(0,100-(MAX(0,U17)*180)-(MAX(0,-L17)*1.2)-(M17*12)-(N17*6)-(MAX(0,O17-15)))</x:f>
        <x:v>74.03614457831326</x:v>
      </x:c>
    </x:row>
    <x:row r="18">
      <x:c r="A18" t="str">
        <x:v>GCP-017</x:v>
      </x:c>
      <x:c r="B18" t="str">
        <x:v>Newton</x:v>
      </x:c>
      <x:c r="C18" t="str">
        <x:v>Pressure Improvement</x:v>
      </x:c>
      <x:c r="D18" t="str">
        <x:v>Bay State Infrastructure</x:v>
      </x:c>
      <x:c r="E18" s="12" t="n">
        <x:v>46195</x:v>
      </x:c>
      <x:c r="F18" s="12" t="n">
        <x:v>46350</x:v>
      </x:c>
      <x:c r="G18" s="14" t="n">
        <x:v>618000</x:v>
      </x:c>
      <x:c r="H18" s="14" t="n">
        <x:v>0</x:v>
      </x:c>
      <x:c r="I18" s="14" t="n">
        <x:v>618000</x:v>
      </x:c>
      <x:c r="J18" s="14" t="n">
        <x:v>397000</x:v>
      </x:c>
      <x:c r="K18" s="14" t="n">
        <x:v>676000</x:v>
      </x:c>
      <x:c r="L18" t="n">
        <x:v>-15</x:v>
      </x:c>
      <x:c r="M18" t="n">
        <x:v>0</x:v>
      </x:c>
      <x:c r="N18" t="n">
        <x:v>1</x:v>
      </x:c>
      <x:c r="O18" t="n">
        <x:v>10</x:v>
      </x:c>
      <x:c r="P18" s="16" t="n">
        <x:v>0.69</x:v>
      </x:c>
      <x:c r="Q18" t="n">
        <x:v>41</x:v>
      </x:c>
      <x:c r="R18" t="str">
        <x:v>Watch</x:v>
      </x:c>
      <x:c r="S18" s="16" t="n">
        <x:f>IFERROR(H18/G18,0)</x:f>
        <x:v>0</x:v>
      </x:c>
      <x:c r="T18" s="14" t="n">
        <x:f>K18-I18</x:f>
        <x:v>58000</x:v>
      </x:c>
      <x:c r="U18" s="16" t="n">
        <x:f>IFERROR(T18/I18,0)</x:f>
        <x:v>0.09385113268608414</x:v>
      </x:c>
      <x:c r="V18" t="n">
        <x:f>MAX(0,100-(MAX(0,U18)*180)-(MAX(0,-L18)*1.2)-(M18*12)-(N18*6)-(MAX(0,O18-15)))</x:f>
        <x:v>59.10679611650485</x:v>
      </x:c>
    </x:row>
    <x:row r="19">
      <x:c r="A19" t="str">
        <x:v>GCP-018</x:v>
      </x:c>
      <x:c r="B19" t="str">
        <x:v>Worcester</x:v>
      </x:c>
      <x:c r="C19" t="str">
        <x:v>Regulator Station</x:v>
      </x:c>
      <x:c r="D19" t="str">
        <x:v>Northeast Pipeline Services</x:v>
      </x:c>
      <x:c r="E19" s="12" t="n">
        <x:v>46054</x:v>
      </x:c>
      <x:c r="F19" s="12" t="n">
        <x:v>46162</x:v>
      </x:c>
      <x:c r="G19" s="14" t="n">
        <x:v>905000</x:v>
      </x:c>
      <x:c r="H19" s="14" t="n">
        <x:v>18000</x:v>
      </x:c>
      <x:c r="I19" s="14" t="n">
        <x:v>923000</x:v>
      </x:c>
      <x:c r="J19" s="14" t="n">
        <x:v>760000</x:v>
      </x:c>
      <x:c r="K19" s="14" t="n">
        <x:v>944000</x:v>
      </x:c>
      <x:c r="L19" t="n">
        <x:v>-22</x:v>
      </x:c>
      <x:c r="M19" t="n">
        <x:v>0</x:v>
      </x:c>
      <x:c r="N19" t="n">
        <x:v>0</x:v>
      </x:c>
      <x:c r="O19" t="n">
        <x:v>8</x:v>
      </x:c>
      <x:c r="P19" s="16" t="n">
        <x:v>0.89</x:v>
      </x:c>
      <x:c r="Q19" t="n">
        <x:v>30</x:v>
      </x:c>
      <x:c r="R19" t="str">
        <x:v>Watch</x:v>
      </x:c>
      <x:c r="S19" s="16" t="n">
        <x:f>IFERROR(H19/G19,0)</x:f>
        <x:v>0.019889502762430938</x:v>
      </x:c>
      <x:c r="T19" s="14" t="n">
        <x:f>K19-I19</x:f>
        <x:v>21000</x:v>
      </x:c>
      <x:c r="U19" s="16" t="n">
        <x:f>IFERROR(T19/I19,0)</x:f>
        <x:v>0.02275189599133261</x:v>
      </x:c>
      <x:c r="V19" t="n">
        <x:f>MAX(0,100-(MAX(0,U19)*180)-(MAX(0,-L19)*1.2)-(M19*12)-(N19*6)-(MAX(0,O19-15)))</x:f>
        <x:v>69.50465872156013</x:v>
      </x:c>
    </x:row>
    <x:row r="20">
      <x:c r="A20" t="str">
        <x:v>GCP-019</x:v>
      </x:c>
      <x:c r="B20" t="str">
        <x:v>Somerville</x:v>
      </x:c>
      <x:c r="C20" t="str">
        <x:v>Service Renewal</x:v>
      </x:c>
      <x:c r="D20" t="str">
        <x:v>Granite Civil &amp; Gas</x:v>
      </x:c>
      <x:c r="E20" s="12" t="n">
        <x:v>46167</x:v>
      </x:c>
      <x:c r="F20" s="12" t="n">
        <x:v>46237</x:v>
      </x:c>
      <x:c r="G20" s="14" t="n">
        <x:v>572000</x:v>
      </x:c>
      <x:c r="H20" s="14" t="n">
        <x:v>55000</x:v>
      </x:c>
      <x:c r="I20" s="14" t="n">
        <x:v>627000</x:v>
      </x:c>
      <x:c r="J20" s="14" t="n">
        <x:v>579000</x:v>
      </x:c>
      <x:c r="K20" s="14" t="n">
        <x:v>622000</x:v>
      </x:c>
      <x:c r="L20" t="n">
        <x:v>1</x:v>
      </x:c>
      <x:c r="M20" t="n">
        <x:v>0</x:v>
      </x:c>
      <x:c r="N20" t="n">
        <x:v>2</x:v>
      </x:c>
      <x:c r="O20" t="n">
        <x:v>3</x:v>
      </x:c>
      <x:c r="P20" s="16" t="n">
        <x:v>1</x:v>
      </x:c>
      <x:c r="Q20" t="n">
        <x:v>12</x:v>
      </x:c>
      <x:c r="R20" t="str">
        <x:v>Complete</x:v>
      </x:c>
      <x:c r="S20" s="16" t="n">
        <x:f>IFERROR(H20/G20,0)</x:f>
        <x:v>0.09615384615384616</x:v>
      </x:c>
      <x:c r="T20" s="14" t="n">
        <x:f>K20-I20</x:f>
        <x:v>-5000</x:v>
      </x:c>
      <x:c r="U20" s="16" t="n">
        <x:f>IFERROR(T20/I20,0)</x:f>
        <x:v>-0.007974481658692184</x:v>
      </x:c>
      <x:c r="V20" t="n">
        <x:f>MAX(0,100-(MAX(0,U20)*180)-(MAX(0,-L20)*1.2)-(M20*12)-(N20*6)-(MAX(0,O20-15)))</x:f>
        <x:v>88</x:v>
      </x:c>
    </x:row>
    <x:row r="21">
      <x:c r="A21" t="str">
        <x:v>GCP-020</x:v>
      </x:c>
      <x:c r="B21" t="str">
        <x:v>Waltham</x:v>
      </x:c>
      <x:c r="C21" t="str">
        <x:v>Main Replacement</x:v>
      </x:c>
      <x:c r="D21" t="str">
        <x:v>Commonwealth Energy Contractors</x:v>
      </x:c>
      <x:c r="E21" s="12" t="n">
        <x:v>46129</x:v>
      </x:c>
      <x:c r="F21" s="12" t="n">
        <x:v>46189</x:v>
      </x:c>
      <x:c r="G21" s="14" t="n">
        <x:v>283000</x:v>
      </x:c>
      <x:c r="H21" s="14" t="n">
        <x:v>10000</x:v>
      </x:c>
      <x:c r="I21" s="14" t="n">
        <x:v>293000</x:v>
      </x:c>
      <x:c r="J21" s="14" t="n">
        <x:v>151000</x:v>
      </x:c>
      <x:c r="K21" s="14" t="n">
        <x:v>311000</x:v>
      </x:c>
      <x:c r="L21" t="n">
        <x:v>-4</x:v>
      </x:c>
      <x:c r="M21" t="n">
        <x:v>0</x:v>
      </x:c>
      <x:c r="N21" t="n">
        <x:v>0</x:v>
      </x:c>
      <x:c r="O21" t="n">
        <x:v>7</x:v>
      </x:c>
      <x:c r="P21" s="16" t="n">
        <x:v>0.59</x:v>
      </x:c>
      <x:c r="Q21" t="n">
        <x:v>16</x:v>
      </x:c>
      <x:c r="R21" t="str">
        <x:v>On Track</x:v>
      </x:c>
      <x:c r="S21" s="16" t="n">
        <x:f>IFERROR(H21/G21,0)</x:f>
        <x:v>0.0353356890459364</x:v>
      </x:c>
      <x:c r="T21" s="14" t="n">
        <x:f>K21-I21</x:f>
        <x:v>18000</x:v>
      </x:c>
      <x:c r="U21" s="16" t="n">
        <x:f>IFERROR(T21/I21,0)</x:f>
        <x:v>0.06143344709897611</x:v>
      </x:c>
      <x:c r="V21" t="n">
        <x:f>MAX(0,100-(MAX(0,U21)*180)-(MAX(0,-L21)*1.2)-(M21*12)-(N21*6)-(MAX(0,O21-15)))</x:f>
        <x:v>84.1419795221843</x:v>
      </x:c>
    </x:row>
    <x:row r="22">
      <x:c r="A22" t="str">
        <x:v>GCP-021</x:v>
      </x:c>
      <x:c r="B22" t="str">
        <x:v>Braintree</x:v>
      </x:c>
      <x:c r="C22" t="str">
        <x:v>Gate Station Upgrade</x:v>
      </x:c>
      <x:c r="D22" t="str">
        <x:v>Atlantic Utility Constructors</x:v>
      </x:c>
      <x:c r="E22" s="12" t="n">
        <x:v>46169</x:v>
      </x:c>
      <x:c r="F22" s="12" t="n">
        <x:v>46338</x:v>
      </x:c>
      <x:c r="G22" s="14" t="n">
        <x:v>517000</x:v>
      </x:c>
      <x:c r="H22" s="14" t="n">
        <x:v>0</x:v>
      </x:c>
      <x:c r="I22" s="14" t="n">
        <x:v>517000</x:v>
      </x:c>
      <x:c r="J22" s="14" t="n">
        <x:v>558000</x:v>
      </x:c>
      <x:c r="K22" s="14" t="n">
        <x:v>530000</x:v>
      </x:c>
      <x:c r="L22" t="n">
        <x:v>17</x:v>
      </x:c>
      <x:c r="M22" t="n">
        <x:v>0</x:v>
      </x:c>
      <x:c r="N22" t="n">
        <x:v>0</x:v>
      </x:c>
      <x:c r="O22" t="n">
        <x:v>31</x:v>
      </x:c>
      <x:c r="P22" s="16" t="n">
        <x:v>1</x:v>
      </x:c>
      <x:c r="Q22" t="n">
        <x:v>21</x:v>
      </x:c>
      <x:c r="R22" t="str">
        <x:v>On Track</x:v>
      </x:c>
      <x:c r="S22" s="16" t="n">
        <x:f>IFERROR(H22/G22,0)</x:f>
        <x:v>0</x:v>
      </x:c>
      <x:c r="T22" s="14" t="n">
        <x:f>K22-I22</x:f>
        <x:v>13000</x:v>
      </x:c>
      <x:c r="U22" s="16" t="n">
        <x:f>IFERROR(T22/I22,0)</x:f>
        <x:v>0.025145067698259187</x:v>
      </x:c>
      <x:c r="V22" t="n">
        <x:f>MAX(0,100-(MAX(0,U22)*180)-(MAX(0,-L22)*1.2)-(M22*12)-(N22*6)-(MAX(0,O22-15)))</x:f>
        <x:v>79.47388781431334</x:v>
      </x:c>
    </x:row>
    <x:row r="23">
      <x:c r="A23" t="str">
        <x:v>GCP-022</x:v>
      </x:c>
      <x:c r="B23" t="str">
        <x:v>Brockton</x:v>
      </x:c>
      <x:c r="C23" t="str">
        <x:v>Pressure Improvement</x:v>
      </x:c>
      <x:c r="D23" t="str">
        <x:v>Bay State Infrastructure</x:v>
      </x:c>
      <x:c r="E23" s="12" t="n">
        <x:v>46162</x:v>
      </x:c>
      <x:c r="F23" s="12" t="n">
        <x:v>46247</x:v>
      </x:c>
      <x:c r="G23" s="14" t="n">
        <x:v>497000</x:v>
      </x:c>
      <x:c r="H23" s="14" t="n">
        <x:v>44000</x:v>
      </x:c>
      <x:c r="I23" s="14" t="n">
        <x:v>541000</x:v>
      </x:c>
      <x:c r="J23" s="14" t="n">
        <x:v>460000</x:v>
      </x:c>
      <x:c r="K23" s="14" t="n">
        <x:v>609000</x:v>
      </x:c>
      <x:c r="L23" t="n">
        <x:v>3</x:v>
      </x:c>
      <x:c r="M23" t="n">
        <x:v>0</x:v>
      </x:c>
      <x:c r="N23" t="n">
        <x:v>0</x:v>
      </x:c>
      <x:c r="O23" t="n">
        <x:v>19</x:v>
      </x:c>
      <x:c r="P23" s="16" t="n">
        <x:v>0.9</x:v>
      </x:c>
      <x:c r="Q23" t="n">
        <x:v>27</x:v>
      </x:c>
      <x:c r="R23" t="str">
        <x:v>On Track</x:v>
      </x:c>
      <x:c r="S23" s="16" t="n">
        <x:f>IFERROR(H23/G23,0)</x:f>
        <x:v>0.08853118712273642</x:v>
      </x:c>
      <x:c r="T23" s="14" t="n">
        <x:f>K23-I23</x:f>
        <x:v>68000</x:v>
      </x:c>
      <x:c r="U23" s="16" t="n">
        <x:f>IFERROR(T23/I23,0)</x:f>
        <x:v>0.1256931608133087</x:v>
      </x:c>
      <x:c r="V23" t="n">
        <x:f>MAX(0,100-(MAX(0,U23)*180)-(MAX(0,-L23)*1.2)-(M23*12)-(N23*6)-(MAX(0,O23-15)))</x:f>
        <x:v>73.37523105360444</x:v>
      </x:c>
    </x:row>
    <x:row r="24">
      <x:c r="A24" t="str">
        <x:v>GCP-023</x:v>
      </x:c>
      <x:c r="B24" t="str">
        <x:v>Dedham</x:v>
      </x:c>
      <x:c r="C24" t="str">
        <x:v>Regulator Station</x:v>
      </x:c>
      <x:c r="D24" t="str">
        <x:v>Northeast Pipeline Services</x:v>
      </x:c>
      <x:c r="E24" s="12" t="n">
        <x:v>46037</x:v>
      </x:c>
      <x:c r="F24" s="12" t="n">
        <x:v>46102</x:v>
      </x:c>
      <x:c r="G24" s="14" t="n">
        <x:v>296000</x:v>
      </x:c>
      <x:c r="H24" s="14" t="n">
        <x:v>71000</x:v>
      </x:c>
      <x:c r="I24" s="14" t="n">
        <x:v>367000</x:v>
      </x:c>
      <x:c r="J24" s="14" t="n">
        <x:v>257000</x:v>
      </x:c>
      <x:c r="K24" s="14" t="n">
        <x:v>397000</x:v>
      </x:c>
      <x:c r="L24" t="n">
        <x:v>-35</x:v>
      </x:c>
      <x:c r="M24" t="n">
        <x:v>0</x:v>
      </x:c>
      <x:c r="N24" t="n">
        <x:v>1</x:v>
      </x:c>
      <x:c r="O24" t="n">
        <x:v>5</x:v>
      </x:c>
      <x:c r="P24" s="16" t="n">
        <x:v>0.68</x:v>
      </x:c>
      <x:c r="Q24" t="n">
        <x:v>63</x:v>
      </x:c>
      <x:c r="R24" t="str">
        <x:v>At Risk</x:v>
      </x:c>
      <x:c r="S24" s="16" t="n">
        <x:f>IFERROR(H24/G24,0)</x:f>
        <x:v>0.23986486486486486</x:v>
      </x:c>
      <x:c r="T24" s="14" t="n">
        <x:f>K24-I24</x:f>
        <x:v>30000</x:v>
      </x:c>
      <x:c r="U24" s="16" t="n">
        <x:f>IFERROR(T24/I24,0)</x:f>
        <x:v>0.08174386920980926</x:v>
      </x:c>
      <x:c r="V24" t="n">
        <x:f>MAX(0,100-(MAX(0,U24)*180)-(MAX(0,-L24)*1.2)-(M24*12)-(N24*6)-(MAX(0,O24-15)))</x:f>
        <x:v>37.28610354223433</x:v>
      </x:c>
    </x:row>
    <x:row r="25">
      <x:c r="A25" t="str">
        <x:v>GCP-024</x:v>
      </x:c>
      <x:c r="B25" t="str">
        <x:v>Quincy</x:v>
      </x:c>
      <x:c r="C25" t="str">
        <x:v>Service Renewal</x:v>
      </x:c>
      <x:c r="D25" t="str">
        <x:v>Granite Civil &amp; Gas</x:v>
      </x:c>
      <x:c r="E25" s="12" t="n">
        <x:v>46192</x:v>
      </x:c>
      <x:c r="F25" s="12" t="n">
        <x:v>46313</x:v>
      </x:c>
      <x:c r="G25" s="14" t="n">
        <x:v>1038000</x:v>
      </x:c>
      <x:c r="H25" s="14" t="n">
        <x:v>37000</x:v>
      </x:c>
      <x:c r="I25" s="14" t="n">
        <x:v>1075000</x:v>
      </x:c>
      <x:c r="J25" s="14" t="n">
        <x:v>542000</x:v>
      </x:c>
      <x:c r="K25" s="14" t="n">
        <x:v>1092000</x:v>
      </x:c>
      <x:c r="L25" t="n">
        <x:v>5</x:v>
      </x:c>
      <x:c r="M25" t="n">
        <x:v>0</x:v>
      </x:c>
      <x:c r="N25" t="n">
        <x:v>0</x:v>
      </x:c>
      <x:c r="O25" t="n">
        <x:v>12</x:v>
      </x:c>
      <x:c r="P25" s="16" t="n">
        <x:v>0.57</x:v>
      </x:c>
      <x:c r="Q25" t="n">
        <x:v>3</x:v>
      </x:c>
      <x:c r="R25" t="str">
        <x:v>On Track</x:v>
      </x:c>
      <x:c r="S25" s="16" t="n">
        <x:f>IFERROR(H25/G25,0)</x:f>
        <x:v>0.03564547206165703</x:v>
      </x:c>
      <x:c r="T25" s="14" t="n">
        <x:f>K25-I25</x:f>
        <x:v>17000</x:v>
      </x:c>
      <x:c r="U25" s="16" t="n">
        <x:f>IFERROR(T25/I25,0)</x:f>
        <x:v>0.01581395348837209</x:v>
      </x:c>
      <x:c r="V25" t="n">
        <x:f>MAX(0,100-(MAX(0,U25)*180)-(MAX(0,-L25)*1.2)-(M25*12)-(N25*6)-(MAX(0,O25-15)))</x:f>
        <x:v>97.15348837209302</x:v>
      </x:c>
    </x:row>
    <x:row r="26">
      <x:c r="A26" t="str">
        <x:v>GCP-025</x:v>
      </x:c>
      <x:c r="B26" t="str">
        <x:v>Lowell</x:v>
      </x:c>
      <x:c r="C26" t="str">
        <x:v>Main Replacement</x:v>
      </x:c>
      <x:c r="D26" t="str">
        <x:v>Commonwealth Energy Contractors</x:v>
      </x:c>
      <x:c r="E26" s="12" t="n">
        <x:v>46094</x:v>
      </x:c>
      <x:c r="F26" s="12" t="n">
        <x:v>46172</x:v>
      </x:c>
      <x:c r="G26" s="14" t="n">
        <x:v>1116000</x:v>
      </x:c>
      <x:c r="H26" s="14" t="n">
        <x:v>42000</x:v>
      </x:c>
      <x:c r="I26" s="14" t="n">
        <x:v>1158000</x:v>
      </x:c>
      <x:c r="J26" s="14" t="n">
        <x:v>1187000</x:v>
      </x:c>
      <x:c r="K26" s="14" t="n">
        <x:v>1268000</x:v>
      </x:c>
      <x:c r="L26" t="n">
        <x:v>2</x:v>
      </x:c>
      <x:c r="M26" t="n">
        <x:v>2</x:v>
      </x:c>
      <x:c r="N26" t="n">
        <x:v>0</x:v>
      </x:c>
      <x:c r="O26" t="n">
        <x:v>16</x:v>
      </x:c>
      <x:c r="P26" s="16" t="n">
        <x:v>1</x:v>
      </x:c>
      <x:c r="Q26" t="n">
        <x:v>42</x:v>
      </x:c>
      <x:c r="R26" t="str">
        <x:v>Complete</x:v>
      </x:c>
      <x:c r="S26" s="16" t="n">
        <x:f>IFERROR(H26/G26,0)</x:f>
        <x:v>0.03763440860215054</x:v>
      </x:c>
      <x:c r="T26" s="14" t="n">
        <x:f>K26-I26</x:f>
        <x:v>110000</x:v>
      </x:c>
      <x:c r="U26" s="16" t="n">
        <x:f>IFERROR(T26/I26,0)</x:f>
        <x:v>0.09499136442141623</x:v>
      </x:c>
      <x:c r="V26" t="n">
        <x:f>MAX(0,100-(MAX(0,U26)*180)-(MAX(0,-L26)*1.2)-(M26*12)-(N26*6)-(MAX(0,O26-15)))</x:f>
        <x:v>57.901554404145074</x:v>
      </x:c>
    </x:row>
    <x:row r="27">
      <x:c r="A27" t="str">
        <x:v>GCP-026</x:v>
      </x:c>
      <x:c r="B27" t="str">
        <x:v>Medford</x:v>
      </x:c>
      <x:c r="C27" t="str">
        <x:v>Gate Station Upgrade</x:v>
      </x:c>
      <x:c r="D27" t="str">
        <x:v>Atlantic Utility Constructors</x:v>
      </x:c>
      <x:c r="E27" s="12" t="n">
        <x:v>46194</x:v>
      </x:c>
      <x:c r="F27" s="12" t="n">
        <x:v>46374</x:v>
      </x:c>
      <x:c r="G27" s="14" t="n">
        <x:v>894000</x:v>
      </x:c>
      <x:c r="H27" s="14" t="n">
        <x:v>141000</x:v>
      </x:c>
      <x:c r="I27" s="14" t="n">
        <x:v>1035000</x:v>
      </x:c>
      <x:c r="J27" s="14" t="n">
        <x:v>456000</x:v>
      </x:c>
      <x:c r="K27" s="14" t="n">
        <x:v>1046000</x:v>
      </x:c>
      <x:c r="L27" t="n">
        <x:v>1</x:v>
      </x:c>
      <x:c r="M27" t="n">
        <x:v>0</x:v>
      </x:c>
      <x:c r="N27" t="n">
        <x:v>0</x:v>
      </x:c>
      <x:c r="O27" t="n">
        <x:v>3</x:v>
      </x:c>
      <x:c r="P27" s="16" t="n">
        <x:v>0.31</x:v>
      </x:c>
      <x:c r="Q27" t="n">
        <x:v>2</x:v>
      </x:c>
      <x:c r="R27" t="str">
        <x:v>On Track</x:v>
      </x:c>
      <x:c r="S27" s="16" t="n">
        <x:f>IFERROR(H27/G27,0)</x:f>
        <x:v>0.15771812080536912</x:v>
      </x:c>
      <x:c r="T27" s="14" t="n">
        <x:f>K27-I27</x:f>
        <x:v>11000</x:v>
      </x:c>
      <x:c r="U27" s="16" t="n">
        <x:f>IFERROR(T27/I27,0)</x:f>
        <x:v>0.010628019323671498</x:v>
      </x:c>
      <x:c r="V27" t="n">
        <x:f>MAX(0,100-(MAX(0,U27)*180)-(MAX(0,-L27)*1.2)-(M27*12)-(N27*6)-(MAX(0,O27-15)))</x:f>
        <x:v>98.08695652173913</x:v>
      </x:c>
    </x:row>
    <x:row r="28">
      <x:c r="A28" t="str">
        <x:v>GCP-027</x:v>
      </x:c>
      <x:c r="B28" t="str">
        <x:v>Newton</x:v>
      </x:c>
      <x:c r="C28" t="str">
        <x:v>Pressure Improvement</x:v>
      </x:c>
      <x:c r="D28" t="str">
        <x:v>Bay State Infrastructure</x:v>
      </x:c>
      <x:c r="E28" s="12" t="n">
        <x:v>46066</x:v>
      </x:c>
      <x:c r="F28" s="12" t="n">
        <x:v>46180</x:v>
      </x:c>
      <x:c r="G28" s="14" t="n">
        <x:v>196000</x:v>
      </x:c>
      <x:c r="H28" s="14" t="n">
        <x:v>8000</x:v>
      </x:c>
      <x:c r="I28" s="14" t="n">
        <x:v>204000</x:v>
      </x:c>
      <x:c r="J28" s="14" t="n">
        <x:v>102000</x:v>
      </x:c>
      <x:c r="K28" s="14" t="n">
        <x:v>216000</x:v>
      </x:c>
      <x:c r="L28" t="n">
        <x:v>-6</x:v>
      </x:c>
      <x:c r="M28" t="n">
        <x:v>0</x:v>
      </x:c>
      <x:c r="N28" t="n">
        <x:v>0</x:v>
      </x:c>
      <x:c r="O28" t="n">
        <x:v>20</x:v>
      </x:c>
      <x:c r="P28" s="16" t="n">
        <x:v>0.44</x:v>
      </x:c>
      <x:c r="Q28" t="n">
        <x:v>23</x:v>
      </x:c>
      <x:c r="R28" t="str">
        <x:v>On Track</x:v>
      </x:c>
      <x:c r="S28" s="16" t="n">
        <x:f>IFERROR(H28/G28,0)</x:f>
        <x:v>0.04081632653061224</x:v>
      </x:c>
      <x:c r="T28" s="14" t="n">
        <x:f>K28-I28</x:f>
        <x:v>12000</x:v>
      </x:c>
      <x:c r="U28" s="16" t="n">
        <x:f>IFERROR(T28/I28,0)</x:f>
        <x:v>0.058823529411764705</x:v>
      </x:c>
      <x:c r="V28" t="n">
        <x:f>MAX(0,100-(MAX(0,U28)*180)-(MAX(0,-L28)*1.2)-(M28*12)-(N28*6)-(MAX(0,O28-15)))</x:f>
        <x:v>77.21176470588235</x:v>
      </x:c>
    </x:row>
    <x:row r="29">
      <x:c r="A29" t="str">
        <x:v>GCP-028</x:v>
      </x:c>
      <x:c r="B29" t="str">
        <x:v>Worcester</x:v>
      </x:c>
      <x:c r="C29" t="str">
        <x:v>Regulator Station</x:v>
      </x:c>
      <x:c r="D29" t="str">
        <x:v>Northeast Pipeline Services</x:v>
      </x:c>
      <x:c r="E29" s="12" t="n">
        <x:v>46050</x:v>
      </x:c>
      <x:c r="F29" s="12" t="n">
        <x:v>46203</x:v>
      </x:c>
      <x:c r="G29" s="14" t="n">
        <x:v>757000</x:v>
      </x:c>
      <x:c r="H29" s="14" t="n">
        <x:v>4000</x:v>
      </x:c>
      <x:c r="I29" s="14" t="n">
        <x:v>761000</x:v>
      </x:c>
      <x:c r="J29" s="14" t="n">
        <x:v>400000</x:v>
      </x:c>
      <x:c r="K29" s="14" t="n">
        <x:v>806000</x:v>
      </x:c>
      <x:c r="L29" t="n">
        <x:v>12</x:v>
      </x:c>
      <x:c r="M29" t="n">
        <x:v>0</x:v>
      </x:c>
      <x:c r="N29" t="n">
        <x:v>1</x:v>
      </x:c>
      <x:c r="O29" t="n">
        <x:v>22</x:v>
      </x:c>
      <x:c r="P29" s="16" t="n">
        <x:v>0.46</x:v>
      </x:c>
      <x:c r="Q29" t="n">
        <x:v>24</x:v>
      </x:c>
      <x:c r="R29" t="str">
        <x:v>On Track</x:v>
      </x:c>
      <x:c r="S29" s="16" t="n">
        <x:f>IFERROR(H29/G29,0)</x:f>
        <x:v>0.005284015852047556</x:v>
      </x:c>
      <x:c r="T29" s="14" t="n">
        <x:f>K29-I29</x:f>
        <x:v>45000</x:v>
      </x:c>
      <x:c r="U29" s="16" t="n">
        <x:f>IFERROR(T29/I29,0)</x:f>
        <x:v>0.05913272010512484</x:v>
      </x:c>
      <x:c r="V29" t="n">
        <x:f>MAX(0,100-(MAX(0,U29)*180)-(MAX(0,-L29)*1.2)-(M29*12)-(N29*6)-(MAX(0,O29-15)))</x:f>
        <x:v>76.35611038107753</x:v>
      </x:c>
    </x:row>
    <x:row r="30">
      <x:c r="A30" t="str">
        <x:v>GCP-029</x:v>
      </x:c>
      <x:c r="B30" t="str">
        <x:v>Somerville</x:v>
      </x:c>
      <x:c r="C30" t="str">
        <x:v>Service Renewal</x:v>
      </x:c>
      <x:c r="D30" t="str">
        <x:v>Granite Civil &amp; Gas</x:v>
      </x:c>
      <x:c r="E30" s="12" t="n">
        <x:v>46055</x:v>
      </x:c>
      <x:c r="F30" s="12" t="n">
        <x:v>46119</x:v>
      </x:c>
      <x:c r="G30" s="14" t="n">
        <x:v>746000</x:v>
      </x:c>
      <x:c r="H30" s="14" t="n">
        <x:v>92000</x:v>
      </x:c>
      <x:c r="I30" s="14" t="n">
        <x:v>838000</x:v>
      </x:c>
      <x:c r="J30" s="14" t="n">
        <x:v>645000</x:v>
      </x:c>
      <x:c r="K30" s="14" t="n">
        <x:v>963000</x:v>
      </x:c>
      <x:c r="L30" t="n">
        <x:v>21</x:v>
      </x:c>
      <x:c r="M30" t="n">
        <x:v>0</x:v>
      </x:c>
      <x:c r="N30" t="n">
        <x:v>1</x:v>
      </x:c>
      <x:c r="O30" t="n">
        <x:v>10</x:v>
      </x:c>
      <x:c r="P30" s="16" t="n">
        <x:v>0.7</x:v>
      </x:c>
      <x:c r="Q30" t="n">
        <x:v>33</x:v>
      </x:c>
      <x:c r="R30" t="str">
        <x:v>Watch</x:v>
      </x:c>
      <x:c r="S30" s="16" t="n">
        <x:f>IFERROR(H30/G30,0)</x:f>
        <x:v>0.12332439678284182</x:v>
      </x:c>
      <x:c r="T30" s="14" t="n">
        <x:f>K30-I30</x:f>
        <x:v>125000</x:v>
      </x:c>
      <x:c r="U30" s="16" t="n">
        <x:f>IFERROR(T30/I30,0)</x:f>
        <x:v>0.14916467780429593</x:v>
      </x:c>
      <x:c r="V30" t="n">
        <x:f>MAX(0,100-(MAX(0,U30)*180)-(MAX(0,-L30)*1.2)-(M30*12)-(N30*6)-(MAX(0,O30-15)))</x:f>
        <x:v>67.15035799522673</x:v>
      </x:c>
    </x:row>
    <x:row r="31">
      <x:c r="A31" t="str">
        <x:v>GCP-030</x:v>
      </x:c>
      <x:c r="B31" t="str">
        <x:v>Waltham</x:v>
      </x:c>
      <x:c r="C31" t="str">
        <x:v>Main Replacement</x:v>
      </x:c>
      <x:c r="D31" t="str">
        <x:v>Commonwealth Energy Contractors</x:v>
      </x:c>
      <x:c r="E31" s="12" t="n">
        <x:v>46230</x:v>
      </x:c>
      <x:c r="F31" s="12" t="n">
        <x:v>46285</x:v>
      </x:c>
      <x:c r="G31" s="14" t="n">
        <x:v>1595000</x:v>
      </x:c>
      <x:c r="H31" s="14" t="n">
        <x:v>210000</x:v>
      </x:c>
      <x:c r="I31" s="14" t="n">
        <x:v>1805000</x:v>
      </x:c>
      <x:c r="J31" s="14" t="n">
        <x:v>1042000</x:v>
      </x:c>
      <x:c r="K31" s="14" t="n">
        <x:v>1941000</x:v>
      </x:c>
      <x:c r="L31" t="n">
        <x:v>-18</x:v>
      </x:c>
      <x:c r="M31" t="n">
        <x:v>0</x:v>
      </x:c>
      <x:c r="N31" t="n">
        <x:v>1</x:v>
      </x:c>
      <x:c r="O31" t="n">
        <x:v>8</x:v>
      </x:c>
      <x:c r="P31" s="16" t="n">
        <x:v>0.76</x:v>
      </x:c>
      <x:c r="Q31" t="n">
        <x:v>41</x:v>
      </x:c>
      <x:c r="R31" t="str">
        <x:v>Watch</x:v>
      </x:c>
      <x:c r="S31" s="16" t="n">
        <x:f>IFERROR(H31/G31,0)</x:f>
        <x:v>0.13166144200626959</x:v>
      </x:c>
      <x:c r="T31" s="14" t="n">
        <x:f>K31-I31</x:f>
        <x:v>136000</x:v>
      </x:c>
      <x:c r="U31" s="16" t="n">
        <x:f>IFERROR(T31/I31,0)</x:f>
        <x:v>0.07534626038781163</x:v>
      </x:c>
      <x:c r="V31" t="n">
        <x:f>MAX(0,100-(MAX(0,U31)*180)-(MAX(0,-L31)*1.2)-(M31*12)-(N31*6)-(MAX(0,O31-15)))</x:f>
        <x:v>58.837673130193906</x:v>
      </x:c>
    </x:row>
    <x:row r="32">
      <x:c r="A32" t="str">
        <x:v>GCP-031</x:v>
      </x:c>
      <x:c r="B32" t="str">
        <x:v>Braintree</x:v>
      </x:c>
      <x:c r="C32" t="str">
        <x:v>Gate Station Upgrade</x:v>
      </x:c>
      <x:c r="D32" t="str">
        <x:v>Atlantic Utility Constructors</x:v>
      </x:c>
      <x:c r="E32" s="12" t="n">
        <x:v>46068</x:v>
      </x:c>
      <x:c r="F32" s="12" t="n">
        <x:v>46158</x:v>
      </x:c>
      <x:c r="G32" s="14" t="n">
        <x:v>912000</x:v>
      </x:c>
      <x:c r="H32" s="14" t="n">
        <x:v>199000</x:v>
      </x:c>
      <x:c r="I32" s="14" t="n">
        <x:v>1111000</x:v>
      </x:c>
      <x:c r="J32" s="14" t="n">
        <x:v>963000</x:v>
      </x:c>
      <x:c r="K32" s="14" t="n">
        <x:v>1309000</x:v>
      </x:c>
      <x:c r="L32" t="n">
        <x:v>-55</x:v>
      </x:c>
      <x:c r="M32" t="n">
        <x:v>1</x:v>
      </x:c>
      <x:c r="N32" t="n">
        <x:v>0</x:v>
      </x:c>
      <x:c r="O32" t="n">
        <x:v>16</x:v>
      </x:c>
      <x:c r="P32" s="16" t="n">
        <x:v>0.87</x:v>
      </x:c>
      <x:c r="Q32" t="n">
        <x:v>100</x:v>
      </x:c>
      <x:c r="R32" t="str">
        <x:v>At Risk</x:v>
      </x:c>
      <x:c r="S32" s="16" t="n">
        <x:f>IFERROR(H32/G32,0)</x:f>
        <x:v>0.21820175438596492</x:v>
      </x:c>
      <x:c r="T32" s="14" t="n">
        <x:f>K32-I32</x:f>
        <x:v>198000</x:v>
      </x:c>
      <x:c r="U32" s="16" t="n">
        <x:f>IFERROR(T32/I32,0)</x:f>
        <x:v>0.1782178217821782</x:v>
      </x:c>
      <x:c r="V32" t="n">
        <x:f>MAX(0,100-(MAX(0,U32)*180)-(MAX(0,-L32)*1.2)-(M32*12)-(N32*6)-(MAX(0,O32-15)))</x:f>
        <x:v>0</x:v>
      </x:c>
    </x:row>
    <x:row r="33">
      <x:c r="A33" t="str">
        <x:v>GCP-032</x:v>
      </x:c>
      <x:c r="B33" t="str">
        <x:v>Brockton</x:v>
      </x:c>
      <x:c r="C33" t="str">
        <x:v>Pressure Improvement</x:v>
      </x:c>
      <x:c r="D33" t="str">
        <x:v>Bay State Infrastructure</x:v>
      </x:c>
      <x:c r="E33" s="12" t="n">
        <x:v>46228</x:v>
      </x:c>
      <x:c r="F33" s="12" t="n">
        <x:v>46300</x:v>
      </x:c>
      <x:c r="G33" s="14" t="n">
        <x:v>1024000</x:v>
      </x:c>
      <x:c r="H33" s="14" t="n">
        <x:v>168000</x:v>
      </x:c>
      <x:c r="I33" s="14" t="n">
        <x:v>1192000</x:v>
      </x:c>
      <x:c r="J33" s="14" t="n">
        <x:v>919000</x:v>
      </x:c>
      <x:c r="K33" s="14" t="n">
        <x:v>1152000</x:v>
      </x:c>
      <x:c r="L33" t="n">
        <x:v>20</x:v>
      </x:c>
      <x:c r="M33" t="n">
        <x:v>0</x:v>
      </x:c>
      <x:c r="N33" t="n">
        <x:v>0</x:v>
      </x:c>
      <x:c r="O33" t="n">
        <x:v>14</x:v>
      </x:c>
      <x:c r="P33" s="16" t="n">
        <x:v>0.74</x:v>
      </x:c>
      <x:c r="Q33" t="n">
        <x:v>0</x:v>
      </x:c>
      <x:c r="R33" t="str">
        <x:v>On Track</x:v>
      </x:c>
      <x:c r="S33" s="16" t="n">
        <x:f>IFERROR(H33/G33,0)</x:f>
        <x:v>0.1640625</x:v>
      </x:c>
      <x:c r="T33" s="14" t="n">
        <x:f>K33-I33</x:f>
        <x:v>-40000</x:v>
      </x:c>
      <x:c r="U33" s="16" t="n">
        <x:f>IFERROR(T33/I33,0)</x:f>
        <x:v>-0.03355704697986577</x:v>
      </x:c>
      <x:c r="V33" t="n">
        <x:f>MAX(0,100-(MAX(0,U33)*180)-(MAX(0,-L33)*1.2)-(M33*12)-(N33*6)-(MAX(0,O33-15)))</x:f>
        <x:v>100</x:v>
      </x:c>
    </x:row>
    <x:row r="34">
      <x:c r="A34" t="str">
        <x:v>GCP-033</x:v>
      </x:c>
      <x:c r="B34" t="str">
        <x:v>Dedham</x:v>
      </x:c>
      <x:c r="C34" t="str">
        <x:v>Regulator Station</x:v>
      </x:c>
      <x:c r="D34" t="str">
        <x:v>Northeast Pipeline Services</x:v>
      </x:c>
      <x:c r="E34" s="12" t="n">
        <x:v>46033</x:v>
      </x:c>
      <x:c r="F34" s="12" t="n">
        <x:v>46127</x:v>
      </x:c>
      <x:c r="G34" s="14" t="n">
        <x:v>963000</x:v>
      </x:c>
      <x:c r="H34" s="14" t="n">
        <x:v>145000</x:v>
      </x:c>
      <x:c r="I34" s="14" t="n">
        <x:v>1108000</x:v>
      </x:c>
      <x:c r="J34" s="14" t="n">
        <x:v>482000</x:v>
      </x:c>
      <x:c r="K34" s="14" t="n">
        <x:v>1168000</x:v>
      </x:c>
      <x:c r="L34" t="n">
        <x:v>18</x:v>
      </x:c>
      <x:c r="M34" t="n">
        <x:v>0</x:v>
      </x:c>
      <x:c r="N34" t="n">
        <x:v>0</x:v>
      </x:c>
      <x:c r="O34" t="n">
        <x:v>14</x:v>
      </x:c>
      <x:c r="P34" s="16" t="n">
        <x:v>0.41</x:v>
      </x:c>
      <x:c r="Q34" t="n">
        <x:v>10</x:v>
      </x:c>
      <x:c r="R34" t="str">
        <x:v>On Track</x:v>
      </x:c>
      <x:c r="S34" s="16" t="n">
        <x:f>IFERROR(H34/G34,0)</x:f>
        <x:v>0.1505711318795431</x:v>
      </x:c>
      <x:c r="T34" s="14" t="n">
        <x:f>K34-I34</x:f>
        <x:v>60000</x:v>
      </x:c>
      <x:c r="U34" s="16" t="n">
        <x:f>IFERROR(T34/I34,0)</x:f>
        <x:v>0.05415162454873646</x:v>
      </x:c>
      <x:c r="V34" t="n">
        <x:f>MAX(0,100-(MAX(0,U34)*180)-(MAX(0,-L34)*1.2)-(M34*12)-(N34*6)-(MAX(0,O34-15)))</x:f>
        <x:v>90.25270758122744</x:v>
      </x:c>
    </x:row>
    <x:row r="35">
      <x:c r="A35" t="str">
        <x:v>GCP-034</x:v>
      </x:c>
      <x:c r="B35" t="str">
        <x:v>Quincy</x:v>
      </x:c>
      <x:c r="C35" t="str">
        <x:v>Service Renewal</x:v>
      </x:c>
      <x:c r="D35" t="str">
        <x:v>Granite Civil &amp; Gas</x:v>
      </x:c>
      <x:c r="E35" s="12" t="n">
        <x:v>46034</x:v>
      </x:c>
      <x:c r="F35" s="12" t="n">
        <x:v>46108</x:v>
      </x:c>
      <x:c r="G35" s="14" t="n">
        <x:v>996000</x:v>
      </x:c>
      <x:c r="H35" s="14" t="n">
        <x:v>23000</x:v>
      </x:c>
      <x:c r="I35" s="14" t="n">
        <x:v>1019000</x:v>
      </x:c>
      <x:c r="J35" s="14" t="n">
        <x:v>1093000</x:v>
      </x:c>
      <x:c r="K35" s="14" t="n">
        <x:v>1103000</x:v>
      </x:c>
      <x:c r="L35" t="n">
        <x:v>-6</x:v>
      </x:c>
      <x:c r="M35" t="n">
        <x:v>0</x:v>
      </x:c>
      <x:c r="N35" t="n">
        <x:v>0</x:v>
      </x:c>
      <x:c r="O35" t="n">
        <x:v>20</x:v>
      </x:c>
      <x:c r="P35" s="16" t="n">
        <x:v>1</x:v>
      </x:c>
      <x:c r="Q35" t="n">
        <x:v>27</x:v>
      </x:c>
      <x:c r="R35" t="str">
        <x:v>Complete</x:v>
      </x:c>
      <x:c r="S35" s="16" t="n">
        <x:f>IFERROR(H35/G35,0)</x:f>
        <x:v>0.023092369477911646</x:v>
      </x:c>
      <x:c r="T35" s="14" t="n">
        <x:f>K35-I35</x:f>
        <x:v>84000</x:v>
      </x:c>
      <x:c r="U35" s="16" t="n">
        <x:f>IFERROR(T35/I35,0)</x:f>
        <x:v>0.08243375858684986</x:v>
      </x:c>
      <x:c r="V35" t="n">
        <x:f>MAX(0,100-(MAX(0,U35)*180)-(MAX(0,-L35)*1.2)-(M35*12)-(N35*6)-(MAX(0,O35-15)))</x:f>
        <x:v>72.96192345436702</x:v>
      </x:c>
    </x:row>
    <x:row r="36">
      <x:c r="A36" t="str">
        <x:v>GCP-035</x:v>
      </x:c>
      <x:c r="B36" t="str">
        <x:v>Lowell</x:v>
      </x:c>
      <x:c r="C36" t="str">
        <x:v>Main Replacement</x:v>
      </x:c>
      <x:c r="D36" t="str">
        <x:v>Commonwealth Energy Contractors</x:v>
      </x:c>
      <x:c r="E36" s="12" t="n">
        <x:v>46157</x:v>
      </x:c>
      <x:c r="F36" s="12" t="n">
        <x:v>46231</x:v>
      </x:c>
      <x:c r="G36" s="14" t="n">
        <x:v>714000</x:v>
      </x:c>
      <x:c r="H36" s="14" t="n">
        <x:v>97000</x:v>
      </x:c>
      <x:c r="I36" s="14" t="n">
        <x:v>811000</x:v>
      </x:c>
      <x:c r="J36" s="14" t="n">
        <x:v>876000</x:v>
      </x:c>
      <x:c r="K36" s="14" t="n">
        <x:v>837000</x:v>
      </x:c>
      <x:c r="L36" t="n">
        <x:v>2</x:v>
      </x:c>
      <x:c r="M36" t="n">
        <x:v>0</x:v>
      </x:c>
      <x:c r="N36" t="n">
        <x:v>1</x:v>
      </x:c>
      <x:c r="O36" t="n">
        <x:v>9</x:v>
      </x:c>
      <x:c r="P36" s="16" t="n">
        <x:v>1</x:v>
      </x:c>
      <x:c r="Q36" t="n">
        <x:v>12</x:v>
      </x:c>
      <x:c r="R36" t="str">
        <x:v>On Track</x:v>
      </x:c>
      <x:c r="S36" s="16" t="n">
        <x:f>IFERROR(H36/G36,0)</x:f>
        <x:v>0.13585434173669467</x:v>
      </x:c>
      <x:c r="T36" s="14" t="n">
        <x:f>K36-I36</x:f>
        <x:v>26000</x:v>
      </x:c>
      <x:c r="U36" s="16" t="n">
        <x:f>IFERROR(T36/I36,0)</x:f>
        <x:v>0.032059186189889025</x:v>
      </x:c>
      <x:c r="V36" t="n">
        <x:f>MAX(0,100-(MAX(0,U36)*180)-(MAX(0,-L36)*1.2)-(M36*12)-(N36*6)-(MAX(0,O36-15)))</x:f>
        <x:v>88.22934648581997</x:v>
      </x:c>
    </x:row>
    <x:row r="37">
      <x:c r="A37" t="str">
        <x:v>GCP-036</x:v>
      </x:c>
      <x:c r="B37" t="str">
        <x:v>Medford</x:v>
      </x:c>
      <x:c r="C37" t="str">
        <x:v>Gate Station Upgrade</x:v>
      </x:c>
      <x:c r="D37" t="str">
        <x:v>Atlantic Utility Constructors</x:v>
      </x:c>
      <x:c r="E37" s="12" t="n">
        <x:v>46215</x:v>
      </x:c>
      <x:c r="F37" s="12" t="n">
        <x:v>46310</x:v>
      </x:c>
      <x:c r="G37" s="14" t="n">
        <x:v>968000</x:v>
      </x:c>
      <x:c r="H37" s="14" t="n">
        <x:v>101000</x:v>
      </x:c>
      <x:c r="I37" s="14" t="n">
        <x:v>1069000</x:v>
      </x:c>
      <x:c r="J37" s="14" t="n">
        <x:v>688000</x:v>
      </x:c>
      <x:c r="K37" s="14" t="n">
        <x:v>1172000</x:v>
      </x:c>
      <x:c r="L37" t="n">
        <x:v>0</x:v>
      </x:c>
      <x:c r="M37" t="n">
        <x:v>0</x:v>
      </x:c>
      <x:c r="N37" t="n">
        <x:v>0</x:v>
      </x:c>
      <x:c r="O37" t="n">
        <x:v>7</x:v>
      </x:c>
      <x:c r="P37" s="16" t="n">
        <x:v>0.49</x:v>
      </x:c>
      <x:c r="Q37" t="n">
        <x:v>17</x:v>
      </x:c>
      <x:c r="R37" t="str">
        <x:v>On Track</x:v>
      </x:c>
      <x:c r="S37" s="16" t="n">
        <x:f>IFERROR(H37/G37,0)</x:f>
        <x:v>0.10433884297520661</x:v>
      </x:c>
      <x:c r="T37" s="14" t="n">
        <x:f>K37-I37</x:f>
        <x:v>103000</x:v>
      </x:c>
      <x:c r="U37" s="16" t="n">
        <x:f>IFERROR(T37/I37,0)</x:f>
        <x:v>0.09635173058933583</x:v>
      </x:c>
      <x:c r="V37" t="n">
        <x:f>MAX(0,100-(MAX(0,U37)*180)-(MAX(0,-L37)*1.2)-(M37*12)-(N37*6)-(MAX(0,O37-15)))</x:f>
        <x:v>82.65668849391955</x:v>
      </x:c>
    </x:row>
    <x:row r="38">
      <x:c r="A38" t="str">
        <x:v>GCP-037</x:v>
      </x:c>
      <x:c r="B38" t="str">
        <x:v>Newton</x:v>
      </x:c>
      <x:c r="C38" t="str">
        <x:v>Pressure Improvement</x:v>
      </x:c>
      <x:c r="D38" t="str">
        <x:v>Bay State Infrastructure</x:v>
      </x:c>
      <x:c r="E38" s="12" t="n">
        <x:v>46197</x:v>
      </x:c>
      <x:c r="F38" s="12" t="n">
        <x:v>46346</x:v>
      </x:c>
      <x:c r="G38" s="14" t="n">
        <x:v>925000</x:v>
      </x:c>
      <x:c r="H38" s="14" t="n">
        <x:v>0</x:v>
      </x:c>
      <x:c r="I38" s="14" t="n">
        <x:v>925000</x:v>
      </x:c>
      <x:c r="J38" s="14" t="n">
        <x:v>855000</x:v>
      </x:c>
      <x:c r="K38" s="14" t="n">
        <x:v>1026000</x:v>
      </x:c>
      <x:c r="L38" t="n">
        <x:v>-12</x:v>
      </x:c>
      <x:c r="M38" t="n">
        <x:v>0</x:v>
      </x:c>
      <x:c r="N38" t="n">
        <x:v>0</x:v>
      </x:c>
      <x:c r="O38" t="n">
        <x:v>18</x:v>
      </x:c>
      <x:c r="P38" s="16" t="n">
        <x:v>0.89</x:v>
      </x:c>
      <x:c r="Q38" t="n">
        <x:v>37</x:v>
      </x:c>
      <x:c r="R38" t="str">
        <x:v>Watch</x:v>
      </x:c>
      <x:c r="S38" s="16" t="n">
        <x:f>IFERROR(H38/G38,0)</x:f>
        <x:v>0</x:v>
      </x:c>
      <x:c r="T38" s="14" t="n">
        <x:f>K38-I38</x:f>
        <x:v>101000</x:v>
      </x:c>
      <x:c r="U38" s="16" t="n">
        <x:f>IFERROR(T38/I38,0)</x:f>
        <x:v>0.10918918918918918</x:v>
      </x:c>
      <x:c r="V38" t="n">
        <x:f>MAX(0,100-(MAX(0,U38)*180)-(MAX(0,-L38)*1.2)-(M38*12)-(N38*6)-(MAX(0,O38-15)))</x:f>
        <x:v>62.94594594594594</x:v>
      </x:c>
    </x:row>
    <x:row r="39">
      <x:c r="A39" t="str">
        <x:v>GCP-038</x:v>
      </x:c>
      <x:c r="B39" t="str">
        <x:v>Worcester</x:v>
      </x:c>
      <x:c r="C39" t="str">
        <x:v>Regulator Station</x:v>
      </x:c>
      <x:c r="D39" t="str">
        <x:v>Northeast Pipeline Services</x:v>
      </x:c>
      <x:c r="E39" s="12" t="n">
        <x:v>46027</x:v>
      </x:c>
      <x:c r="F39" s="12" t="n">
        <x:v>46149</x:v>
      </x:c>
      <x:c r="G39" s="14" t="n">
        <x:v>848000</x:v>
      </x:c>
      <x:c r="H39" s="14" t="n">
        <x:v>146000</x:v>
      </x:c>
      <x:c r="I39" s="14" t="n">
        <x:v>994000</x:v>
      </x:c>
      <x:c r="J39" s="14" t="n">
        <x:v>811000</x:v>
      </x:c>
      <x:c r="K39" s="14" t="n">
        <x:v>954000</x:v>
      </x:c>
      <x:c r="L39" t="n">
        <x:v>-25</x:v>
      </x:c>
      <x:c r="M39" t="n">
        <x:v>0</x:v>
      </x:c>
      <x:c r="N39" t="n">
        <x:v>0</x:v>
      </x:c>
      <x:c r="O39" t="n">
        <x:v>7</x:v>
      </x:c>
      <x:c r="P39" s="16" t="n">
        <x:v>0.81</x:v>
      </x:c>
      <x:c r="Q39" t="n">
        <x:v>30</x:v>
      </x:c>
      <x:c r="R39" t="str">
        <x:v>Watch</x:v>
      </x:c>
      <x:c r="S39" s="16" t="n">
        <x:f>IFERROR(H39/G39,0)</x:f>
        <x:v>0.1721698113207547</x:v>
      </x:c>
      <x:c r="T39" s="14" t="n">
        <x:f>K39-I39</x:f>
        <x:v>-40000</x:v>
      </x:c>
      <x:c r="U39" s="16" t="n">
        <x:f>IFERROR(T39/I39,0)</x:f>
        <x:v>-0.04024144869215292</x:v>
      </x:c>
      <x:c r="V39" t="n">
        <x:f>MAX(0,100-(MAX(0,U39)*180)-(MAX(0,-L39)*1.2)-(M39*12)-(N39*6)-(MAX(0,O39-15)))</x:f>
        <x:v>70</x:v>
      </x:c>
    </x:row>
    <x:row r="40">
      <x:c r="A40" t="str">
        <x:v>GCP-039</x:v>
      </x:c>
      <x:c r="B40" t="str">
        <x:v>Somerville</x:v>
      </x:c>
      <x:c r="C40" t="str">
        <x:v>Service Renewal</x:v>
      </x:c>
      <x:c r="D40" t="str">
        <x:v>Granite Civil &amp; Gas</x:v>
      </x:c>
      <x:c r="E40" s="12" t="n">
        <x:v>46230</x:v>
      </x:c>
      <x:c r="F40" s="12" t="n">
        <x:v>46318</x:v>
      </x:c>
      <x:c r="G40" s="14" t="n">
        <x:v>767000</x:v>
      </x:c>
      <x:c r="H40" s="14" t="n">
        <x:v>76000</x:v>
      </x:c>
      <x:c r="I40" s="14" t="n">
        <x:v>843000</x:v>
      </x:c>
      <x:c r="J40" s="14" t="n">
        <x:v>894000</x:v>
      </x:c>
      <x:c r="K40" s="14" t="n">
        <x:v>838000</x:v>
      </x:c>
      <x:c r="L40" t="n">
        <x:v>-11</x:v>
      </x:c>
      <x:c r="M40" t="n">
        <x:v>0</x:v>
      </x:c>
      <x:c r="N40" t="n">
        <x:v>1</x:v>
      </x:c>
      <x:c r="O40" t="n">
        <x:v>3</x:v>
      </x:c>
      <x:c r="P40" s="16" t="n">
        <x:v>1</x:v>
      </x:c>
      <x:c r="Q40" t="n">
        <x:v>19</x:v>
      </x:c>
      <x:c r="R40" t="str">
        <x:v>On Track</x:v>
      </x:c>
      <x:c r="S40" s="16" t="n">
        <x:f>IFERROR(H40/G40,0)</x:f>
        <x:v>0.09908735332464146</x:v>
      </x:c>
      <x:c r="T40" s="14" t="n">
        <x:f>K40-I40</x:f>
        <x:v>-5000</x:v>
      </x:c>
      <x:c r="U40" s="16" t="n">
        <x:f>IFERROR(T40/I40,0)</x:f>
        <x:v>-0.005931198102016607</x:v>
      </x:c>
      <x:c r="V40" t="n">
        <x:f>MAX(0,100-(MAX(0,U40)*180)-(MAX(0,-L40)*1.2)-(M40*12)-(N40*6)-(MAX(0,O40-15)))</x:f>
        <x:v>80.8</x:v>
      </x:c>
    </x:row>
    <x:row r="41">
      <x:c r="A41" t="str">
        <x:v>GCP-040</x:v>
      </x:c>
      <x:c r="B41" t="str">
        <x:v>Waltham</x:v>
      </x:c>
      <x:c r="C41" t="str">
        <x:v>Main Replacement</x:v>
      </x:c>
      <x:c r="D41" t="str">
        <x:v>Commonwealth Energy Contractors</x:v>
      </x:c>
      <x:c r="E41" s="12" t="n">
        <x:v>46077</x:v>
      </x:c>
      <x:c r="F41" s="12" t="n">
        <x:v>46159</x:v>
      </x:c>
      <x:c r="G41" s="14" t="n">
        <x:v>1529000</x:v>
      </x:c>
      <x:c r="H41" s="14" t="n">
        <x:v>202000</x:v>
      </x:c>
      <x:c r="I41" s="14" t="n">
        <x:v>1731000</x:v>
      </x:c>
      <x:c r="J41" s="14" t="n">
        <x:v>1458000</x:v>
      </x:c>
      <x:c r="K41" s="14" t="n">
        <x:v>1729000</x:v>
      </x:c>
      <x:c r="L41" t="n">
        <x:v>-12</x:v>
      </x:c>
      <x:c r="M41" t="n">
        <x:v>0</x:v>
      </x:c>
      <x:c r="N41" t="n">
        <x:v>0</x:v>
      </x:c>
      <x:c r="O41" t="n">
        <x:v>11</x:v>
      </x:c>
      <x:c r="P41" s="16" t="n">
        <x:v>0.82</x:v>
      </x:c>
      <x:c r="Q41" t="n">
        <x:v>14</x:v>
      </x:c>
      <x:c r="R41" t="str">
        <x:v>On Track</x:v>
      </x:c>
      <x:c r="S41" s="16" t="n">
        <x:f>IFERROR(H41/G41,0)</x:f>
        <x:v>0.13211249182472204</x:v>
      </x:c>
      <x:c r="T41" s="14" t="n">
        <x:f>K41-I41</x:f>
        <x:v>-2000</x:v>
      </x:c>
      <x:c r="U41" s="16" t="n">
        <x:f>IFERROR(T41/I41,0)</x:f>
        <x:v>-0.0011554015020219526</x:v>
      </x:c>
      <x:c r="V41" t="n">
        <x:f>MAX(0,100-(MAX(0,U41)*180)-(MAX(0,-L41)*1.2)-(M41*12)-(N41*6)-(MAX(0,O41-15)))</x:f>
        <x:v>85.6</x:v>
      </x:c>
    </x:row>
  </x:sheetData>
  <x:conditionalFormatting sqref="Q2:Q4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U2:U41">
    <x:cfRule type="expression" dxfId="0" priority="2">
      <x:formula>U2&gt;0.1</x:formula>
    </x:cfRule>
  </x:conditionalFormatting>
  <x:conditionalFormatting sqref="L2:L41">
    <x:cfRule type="expression" dxfId="1" priority="3">
      <x:formula>L2&lt;-15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0647ba867044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6" hidden="0" customWidth="1"/>
    <x:col min="5" max="5" width="12" hidden="0" customWidth="1"/>
    <x:col min="6" max="6" width="16" hidden="0" customWidth="1"/>
    <x:col min="7" max="7" width="3" hidden="0" customWidth="1"/>
    <x:col min="8" max="8" width="12" hidden="0" customWidth="1"/>
    <x:col min="9" max="9" width="28" hidden="0" customWidth="1"/>
    <x:col min="10" max="10" width="15" hidden="0" customWidth="1"/>
    <x:col min="11" max="11" width="12" hidden="0" customWidth="1"/>
    <x:col min="12" max="12" width="10" hidden="0" customWidth="1"/>
  </x:cols>
  <x:sheetData>
    <x:row r="1" ht="24" customHeight="1">
      <x:c r="A1" s="20" t="str">
        <x:v>GAS CAPITAL PROJECT &amp; CONTRACTOR PERFORMANCE DASHBOARD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24" customHeight="1">
      <x:c r="A2" s="26" t="str">
        <x:v>Portfolio demonstration | Fictional sample data | Timothy J. Blanch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4" ht="22" customHeight="1">
      <x:c r="A4" s="33" t="str">
        <x:v>TOTAL APPROVED VALUE</x:v>
      </x:c>
      <x:c r="B4" s="33"/>
      <x:c r="C4" s="33" t="str">
        <x:v>FORECAST AT COMPLETION</x:v>
      </x:c>
      <x:c r="D4" s="33"/>
      <x:c r="E4" s="33" t="str">
        <x:v>FORECAST VARIANCE</x:v>
      </x:c>
      <x:c r="F4" s="33"/>
      <x:c r="G4" s="33" t="str">
        <x:v>AT-RISK PROJECTS</x:v>
      </x:c>
      <x:c r="H4" s="33"/>
      <x:c r="I4" s="33" t="str">
        <x:v>AVG CHANGE ORDER %</x:v>
      </x:c>
      <x:c r="J4" s="33"/>
      <x:c r="K4" s="33" t="str">
        <x:v>AVG PERFORMANCE SCORE</x:v>
      </x:c>
      <x:c r="L4" s="33"/>
    </x:row>
    <x:row r="5" ht="22" customHeight="1">
      <x:c r="A5" s="46" t="n">
        <x:f>SUM('Project Data'!I2:I41)</x:f>
        <x:v>42402000</x:v>
      </x:c>
      <x:c r="B5" s="46"/>
      <x:c r="C5" s="46" t="n">
        <x:f>SUM('Project Data'!K2:K41)</x:f>
        <x:v>44691000</x:v>
      </x:c>
      <x:c r="D5" s="46"/>
      <x:c r="E5" s="46" t="n">
        <x:f>SUM('Project Data'!T2:T41)</x:f>
        <x:v>2289000</x:v>
      </x:c>
      <x:c r="F5" s="46"/>
      <x:c r="G5" s="48" t="n">
        <x:f>COUNTIF('Project Data'!R2:R41,"At Risk")</x:f>
        <x:v>4</x:v>
      </x:c>
      <x:c r="H5" s="48"/>
      <x:c r="I5" s="50" t="n">
        <x:f>AVERAGE('Project Data'!S2:S41)</x:f>
        <x:v>0.09820306375177155</x:v>
      </x:c>
      <x:c r="J5" s="50"/>
      <x:c r="K5" s="52" t="n">
        <x:f>AVERAGE('Project Data'!V2:V41)</x:f>
        <x:v>70.26454401872444</x:v>
      </x:c>
      <x:c r="L5" s="52"/>
    </x:row>
    <x:row r="6" ht="22" customHeight="1">
      <x:c r="A6" s="46"/>
      <x:c r="B6" s="46"/>
      <x:c r="C6" s="46"/>
      <x:c r="D6" s="46"/>
      <x:c r="E6" s="46"/>
      <x:c r="F6" s="46"/>
      <x:c r="G6" s="48"/>
      <x:c r="H6" s="48"/>
      <x:c r="I6" s="50"/>
      <x:c r="J6" s="50"/>
      <x:c r="K6" s="52"/>
      <x:c r="L6" s="52"/>
    </x:row>
    <x:row r="8">
      <x:c r="A8" s="6" t="str">
        <x:v>CONTRACTOR PERFORMANCE</x:v>
      </x:c>
      <x:c r="B8" s="6"/>
      <x:c r="C8" s="6"/>
      <x:c r="D8" s="6"/>
      <x:c r="E8" s="6"/>
      <x:c r="F8" s="6"/>
      <x:c r="H8" s="6" t="str">
        <x:v>MANAGEMENT ATTENTION QUEUE</x:v>
      </x:c>
      <x:c r="I8" s="6"/>
      <x:c r="J8" s="6"/>
      <x:c r="K8" s="6"/>
      <x:c r="L8" s="6"/>
    </x:row>
    <x:row r="9">
      <x:c r="A9" s="6" t="str">
        <x:v>Contractor</x:v>
      </x:c>
      <x:c r="B9" s="6" t="str">
        <x:v>Projects</x:v>
      </x:c>
      <x:c r="C9" s="6" t="str">
        <x:v>Approved Value</x:v>
      </x:c>
      <x:c r="D9" s="6" t="str">
        <x:v>Forecast Variance</x:v>
      </x:c>
      <x:c r="E9" s="6" t="str">
        <x:v>Avg Risk</x:v>
      </x:c>
      <x:c r="F9" s="6" t="str">
        <x:v>Avg Performance</x:v>
      </x:c>
      <x:c r="H9" s="6" t="str">
        <x:v>Project</x:v>
      </x:c>
      <x:c r="I9" s="6" t="str">
        <x:v>Contractor</x:v>
      </x:c>
      <x:c r="J9" s="6" t="str">
        <x:v>Forecast Var.</x:v>
      </x:c>
      <x:c r="K9" s="6" t="str">
        <x:v>Sched. Var.</x:v>
      </x:c>
      <x:c r="L9" s="6" t="str">
        <x:v>Risk</x:v>
      </x:c>
    </x:row>
    <x:row r="10">
      <x:c r="A10" t="str">
        <x:v>Atlantic Utility</x:v>
      </x:c>
      <x:c r="B10" t="n">
        <x:f>COUNTIF('Project Data'!D2:D41,"Atlantic Utility Constructors")</x:f>
        <x:v>8</x:v>
      </x:c>
      <x:c r="C10" s="14" t="n">
        <x:f>SUMIF('Project Data'!D2:D41,"Atlantic Utility Constructors",'Project Data'!I2:I41)</x:f>
        <x:v>9747000</x:v>
      </x:c>
      <x:c r="D10" s="14" t="n">
        <x:f>SUMIF('Project Data'!D2:D41,"Atlantic Utility Constructors",'Project Data'!T2:T41)</x:f>
        <x:v>355000</x:v>
      </x:c>
      <x:c r="E10" s="54" t="n">
        <x:f>SUMIF('Project Data'!D2:D41,"Atlantic Utility Constructors",'Project Data'!Q2:Q41)/B10</x:f>
        <x:v>30.875</x:v>
      </x:c>
      <x:c r="F10" s="54" t="n">
        <x:f>SUMIF('Project Data'!D2:D41,"Atlantic Utility Constructors",'Project Data'!V2:V41)/B10</x:f>
        <x:v>69.13894703881797</x:v>
      </x:c>
      <x:c r="H10" t="str">
        <x:v>GCP-031</x:v>
      </x:c>
      <x:c r="I10" t="str">
        <x:v>Atlantic Utility Constructors</x:v>
      </x:c>
      <x:c r="J10" s="14" t="n">
        <x:f>'Project Data'!T32</x:f>
        <x:v>198000</x:v>
      </x:c>
      <x:c r="K10" t="n">
        <x:f>'Project Data'!L32</x:f>
        <x:v>-55</x:v>
      </x:c>
      <x:c r="L10" t="n">
        <x:f>'Project Data'!Q32</x:f>
        <x:v>100</x:v>
      </x:c>
    </x:row>
    <x:row r="11">
      <x:c r="A11" t="str">
        <x:v>Bay State Infrastructure</x:v>
      </x:c>
      <x:c r="B11" t="n">
        <x:f>COUNTIF('Project Data'!D2:D41,"Bay State Infrastructure")</x:f>
        <x:v>8</x:v>
      </x:c>
      <x:c r="C11" s="14" t="n">
        <x:f>SUMIF('Project Data'!D2:D41,"Bay State Infrastructure",'Project Data'!I2:I41)</x:f>
        <x:v>5304000</x:v>
      </x:c>
      <x:c r="D11" s="14" t="n">
        <x:f>SUMIF('Project Data'!D2:D41,"Bay State Infrastructure",'Project Data'!T2:T41)</x:f>
        <x:v>210000</x:v>
      </x:c>
      <x:c r="E11" s="54" t="n">
        <x:f>SUMIF('Project Data'!D2:D41,"Bay State Infrastructure",'Project Data'!Q2:Q41)/B11</x:f>
        <x:v>27.375</x:v>
      </x:c>
      <x:c r="F11" s="54" t="n">
        <x:f>SUMIF('Project Data'!D2:D41,"Bay State Infrastructure",'Project Data'!V2:V41)/B11</x:f>
        <x:v>72.65917514853429</x:v>
      </x:c>
      <x:c r="H11" t="str">
        <x:v>GCP-014</x:v>
      </x:c>
      <x:c r="I11" t="str">
        <x:v>Granite Civil &amp; Gas</x:v>
      </x:c>
      <x:c r="J11" s="14" t="n">
        <x:f>'Project Data'!T15</x:f>
        <x:v>336000</x:v>
      </x:c>
      <x:c r="K11" t="n">
        <x:f>'Project Data'!L15</x:f>
        <x:v>-39</x:v>
      </x:c>
      <x:c r="L11" t="n">
        <x:f>'Project Data'!Q15</x:f>
        <x:v>75</x:v>
      </x:c>
    </x:row>
    <x:row r="12">
      <x:c r="A12" t="str">
        <x:v>Northeast Pipeline</x:v>
      </x:c>
      <x:c r="B12" t="n">
        <x:f>COUNTIF('Project Data'!D2:D41,"Northeast Pipeline Services")</x:f>
        <x:v>8</x:v>
      </x:c>
      <x:c r="C12" s="14" t="n">
        <x:f>SUMIF('Project Data'!D2:D41,"Northeast Pipeline Services",'Project Data'!I2:I41)</x:f>
        <x:v>8215000</x:v>
      </x:c>
      <x:c r="D12" s="14" t="n">
        <x:f>SUMIF('Project Data'!D2:D41,"Northeast Pipeline Services",'Project Data'!T2:T41)</x:f>
        <x:v>426000</x:v>
      </x:c>
      <x:c r="E12" s="54" t="n">
        <x:f>SUMIF('Project Data'!D2:D41,"Northeast Pipeline Services",'Project Data'!Q2:Q41)/B12</x:f>
        <x:v>31.125</x:v>
      </x:c>
      <x:c r="F12" s="54" t="n">
        <x:f>SUMIF('Project Data'!D2:D41,"Northeast Pipeline Services",'Project Data'!V2:V41)/B12</x:f>
        <x:v>68.92892420905308</x:v>
      </x:c>
      <x:c r="H12" t="str">
        <x:v>GCP-005</x:v>
      </x:c>
      <x:c r="I12" t="str">
        <x:v>Commonwealth Energy Contractors</x:v>
      </x:c>
      <x:c r="J12" s="14" t="n">
        <x:f>'Project Data'!T6</x:f>
        <x:v>112000</x:v>
      </x:c>
      <x:c r="K12" t="n">
        <x:f>'Project Data'!L6</x:f>
        <x:v>-38</x:v>
      </x:c>
      <x:c r="L12" t="n">
        <x:f>'Project Data'!Q6</x:f>
        <x:v>68</x:v>
      </x:c>
    </x:row>
    <x:row r="13">
      <x:c r="A13" t="str">
        <x:v>Granite Civil &amp; Gas</x:v>
      </x:c>
      <x:c r="B13" t="n">
        <x:f>COUNTIF('Project Data'!D2:D41,"Granite Civil &amp; Gas")</x:f>
        <x:v>8</x:v>
      </x:c>
      <x:c r="C13" s="14" t="n">
        <x:f>SUMIF('Project Data'!D2:D41,"Granite Civil &amp; Gas",'Project Data'!I2:I41)</x:f>
        <x:v>8247000</x:v>
      </x:c>
      <x:c r="D13" s="14" t="n">
        <x:f>SUMIF('Project Data'!D2:D41,"Granite Civil &amp; Gas",'Project Data'!T2:T41)</x:f>
        <x:v>732000</x:v>
      </x:c>
      <x:c r="E13" s="54" t="n">
        <x:f>SUMIF('Project Data'!D2:D41,"Granite Civil &amp; Gas",'Project Data'!Q2:Q41)/B13</x:f>
        <x:v>27.625</x:v>
      </x:c>
      <x:c r="F13" s="54" t="n">
        <x:f>SUMIF('Project Data'!D2:D41,"Granite Civil &amp; Gas",'Project Data'!V2:V41)/B13</x:f>
        <x:v>72.32581861585392</x:v>
      </x:c>
      <x:c r="H13" t="str">
        <x:v>GCP-023</x:v>
      </x:c>
      <x:c r="I13" t="str">
        <x:v>Northeast Pipeline Services</x:v>
      </x:c>
      <x:c r="J13" s="14" t="n">
        <x:f>'Project Data'!T24</x:f>
        <x:v>30000</x:v>
      </x:c>
      <x:c r="K13" t="n">
        <x:f>'Project Data'!L24</x:f>
        <x:v>-35</x:v>
      </x:c>
      <x:c r="L13" t="n">
        <x:f>'Project Data'!Q24</x:f>
        <x:v>63</x:v>
      </x:c>
    </x:row>
    <x:row r="14">
      <x:c r="A14" t="str">
        <x:v>Commonwealth Energy</x:v>
      </x:c>
      <x:c r="B14" t="n">
        <x:f>COUNTIF('Project Data'!D2:D41,"Commonwealth Energy Contractors")</x:f>
        <x:v>8</x:v>
      </x:c>
      <x:c r="C14" s="14" t="n">
        <x:f>SUMIF('Project Data'!D2:D41,"Commonwealth Energy Contractors",'Project Data'!I2:I41)</x:f>
        <x:v>10889000</x:v>
      </x:c>
      <x:c r="D14" s="14" t="n">
        <x:f>SUMIF('Project Data'!D2:D41,"Commonwealth Energy Contractors",'Project Data'!T2:T41)</x:f>
        <x:v>566000</x:v>
      </x:c>
      <x:c r="E14" s="54" t="n">
        <x:f>SUMIF('Project Data'!D2:D41,"Commonwealth Energy Contractors",'Project Data'!Q2:Q41)/B14</x:f>
        <x:v>31.625</x:v>
      </x:c>
      <x:c r="F14" s="54" t="n">
        <x:f>SUMIF('Project Data'!D2:D41,"Commonwealth Energy Contractors",'Project Data'!V2:V41)/B14</x:f>
        <x:v>68.269855081363</x:v>
      </x:c>
      <x:c r="H14" t="str">
        <x:v>GCP-013</x:v>
      </x:c>
      <x:c r="I14" t="str">
        <x:v>Northeast Pipeline Services</x:v>
      </x:c>
      <x:c r="J14" s="14" t="n">
        <x:f>'Project Data'!T14</x:f>
        <x:v>220000</x:v>
      </x:c>
      <x:c r="K14" t="n">
        <x:f>'Project Data'!L14</x:f>
        <x:v>-15</x:v>
      </x:c>
      <x:c r="L14" t="n">
        <x:f>'Project Data'!Q14</x:f>
        <x:v>53</x:v>
      </x:c>
    </x:row>
    <x:row r="17">
      <x:c r="A17" s="6" t="str">
        <x:v>EXECUTIVE INSIGHTS / ACTIONS</x:v>
      </x:c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</x:row>
    <x:row r="18" ht="34" customHeight="1">
      <x:c r="A18" s="62" t="str">
        <x:v>1</x:v>
      </x:c>
      <x:c r="B18" s="62" t="str">
        <x:v>Cost control</x:v>
      </x:c>
      <x:c r="C18" s="58" t="str">
        <x:v>Flag projects where forecast variance exceeds 10% and require a recovery plan before the next Monthly Performance Review.</x:v>
      </x:c>
      <x:c r="D18" s="58"/>
      <x:c r="E18" s="58"/>
      <x:c r="F18" s="58"/>
      <x:c r="G18" s="58"/>
      <x:c r="H18" s="58"/>
      <x:c r="I18" s="58"/>
      <x:c r="J18" s="58"/>
      <x:c r="K18" s="58"/>
      <x:c r="L18" s="58"/>
    </x:row>
    <x:row r="19" ht="34" customHeight="1">
      <x:c r="A19" s="70" t="str">
        <x:v>2</x:v>
      </x:c>
      <x:c r="B19" s="70" t="str">
        <x:v>Contractor governance</x:v>
      </x:c>
      <x:c r="C19" s="66" t="str">
        <x:v>Compare contractor change-order rate, risk score, and performance score to focus commercial review and coaching.</x:v>
      </x:c>
      <x:c r="D19" s="66"/>
      <x:c r="E19" s="66"/>
      <x:c r="F19" s="66"/>
      <x:c r="G19" s="66"/>
      <x:c r="H19" s="66"/>
      <x:c r="I19" s="66"/>
      <x:c r="J19" s="66"/>
      <x:c r="K19" s="66"/>
      <x:c r="L19" s="66"/>
    </x:row>
    <x:row r="20" ht="34" customHeight="1">
      <x:c r="A20" s="62" t="str">
        <x:v>3</x:v>
      </x:c>
      <x:c r="B20" s="62" t="str">
        <x:v>Schedule risk</x:v>
      </x:c>
      <x:c r="C20" s="58" t="str">
        <x:v>Prioritize projects more than 15 days behind plan, especially when cost and quality indicators are also deteriorating.</x:v>
      </x:c>
      <x:c r="D20" s="58"/>
      <x:c r="E20" s="58"/>
      <x:c r="F20" s="58"/>
      <x:c r="G20" s="58"/>
      <x:c r="H20" s="58"/>
      <x:c r="I20" s="58"/>
      <x:c r="J20" s="58"/>
      <x:c r="K20" s="58"/>
      <x:c r="L20" s="58"/>
    </x:row>
    <x:row r="21" ht="34" customHeight="1">
      <x:c r="A21" s="70" t="str">
        <x:v>4</x:v>
      </x:c>
      <x:c r="B21" s="70" t="str">
        <x:v>Financial controls</x:v>
      </x:c>
      <x:c r="C21" s="66" t="str">
        <x:v>Track invoice-cycle aging and forecast movement so reporting delays are separated from true project-performance issues.</x:v>
      </x:c>
      <x:c r="D21" s="66"/>
      <x:c r="E21" s="66"/>
      <x:c r="F21" s="66"/>
      <x:c r="G21" s="66"/>
      <x:c r="H21" s="66"/>
      <x:c r="I21" s="66"/>
      <x:c r="J21" s="66"/>
      <x:c r="K21" s="66"/>
      <x:c r="L21" s="66"/>
    </x:row>
  </x:sheetData>
  <x:mergeCells>
    <x:mergeCell ref="A1:L1"/>
    <x:mergeCell ref="A2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F8"/>
    <x:mergeCell ref="H8:L8"/>
    <x:mergeCell ref="A17:L17"/>
    <x:mergeCell ref="C18:L18"/>
    <x:mergeCell ref="C19:L19"/>
    <x:mergeCell ref="C20:L20"/>
    <x:mergeCell ref="C21:L21"/>
  </x:mergeCells>
  <x:conditionalFormatting sqref="E10:E1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10:F1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L10:L14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e0259941cdc24a3b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73" t="str">
        <x:v>SQL PORTFOLIO - CONTRACT PERFORMANCE ANALYSIS</x:v>
      </x:c>
      <x:c r="B1" s="73"/>
      <x:c r="C1" s="73"/>
      <x:c r="D1" s="73"/>
      <x:c r="E1" s="73"/>
      <x:c r="F1" s="73"/>
      <x:c r="G1" s="73"/>
      <x:c r="H1" s="73"/>
    </x:row>
    <x:row r="2">
      <x:c r="A2" s="25" t="str">
        <x:v>Illustrative queries Timothy can explain in an interview; written against a table named gas_contracts.</x:v>
      </x:c>
      <x:c r="B2" s="25"/>
      <x:c r="C2" s="25"/>
      <x:c r="D2" s="25"/>
      <x:c r="E2" s="25"/>
      <x:c r="F2" s="25"/>
      <x:c r="G2" s="25"/>
      <x:c r="H2" s="25"/>
    </x:row>
    <x:row r="4">
      <x:c r="A4" s="31" t="str">
        <x:v>1. Portfolio cost variance</x:v>
      </x:c>
      <x:c r="B4" s="31"/>
      <x:c r="C4" s="31"/>
      <x:c r="D4" s="31"/>
      <x:c r="E4" s="31"/>
      <x:c r="F4" s="31"/>
      <x:c r="G4" s="31"/>
      <x:c r="H4" s="31"/>
    </x:row>
    <x:row r="5">
      <x:c r="A5" s="78" t="str">
        <x:v>SELECT
  SUM(approved_contract) AS approved_value,
  SUM(forecast_at_completion) AS forecast_value,
  SUM(forecast_at_completion - approved_contract) AS forecast_variance
FROM gas_contracts;</x:v>
      </x:c>
      <x:c r="B5" s="78"/>
      <x:c r="C5" s="78"/>
      <x:c r="D5" s="78"/>
      <x:c r="E5" s="78"/>
      <x:c r="F5" s="78"/>
      <x:c r="G5" s="78"/>
      <x:c r="H5" s="78"/>
    </x:row>
    <x:row r="6">
      <x:c r="A6" s="78"/>
      <x:c r="B6" s="78"/>
      <x:c r="C6" s="78"/>
      <x:c r="D6" s="78"/>
      <x:c r="E6" s="78"/>
      <x:c r="F6" s="78"/>
      <x:c r="G6" s="78"/>
      <x:c r="H6" s="78"/>
    </x:row>
    <x:row r="7">
      <x:c r="A7" s="78"/>
      <x:c r="B7" s="78"/>
      <x:c r="C7" s="78"/>
      <x:c r="D7" s="78"/>
      <x:c r="E7" s="78"/>
      <x:c r="F7" s="78"/>
      <x:c r="G7" s="78"/>
      <x:c r="H7" s="78"/>
    </x:row>
    <x:row r="8">
      <x:c r="A8" s="78"/>
      <x:c r="B8" s="78"/>
      <x:c r="C8" s="78"/>
      <x:c r="D8" s="78"/>
      <x:c r="E8" s="78"/>
      <x:c r="F8" s="78"/>
      <x:c r="G8" s="78"/>
      <x:c r="H8" s="78"/>
    </x:row>
    <x:row r="9">
      <x:c r="A9" s="78"/>
      <x:c r="B9" s="78"/>
      <x:c r="C9" s="78"/>
      <x:c r="D9" s="78"/>
      <x:c r="E9" s="78"/>
      <x:c r="F9" s="78"/>
      <x:c r="G9" s="78"/>
      <x:c r="H9" s="78"/>
    </x:row>
    <x:row r="11">
      <x:c r="A11" s="31" t="str">
        <x:v>2. Contractor scorecard</x:v>
      </x:c>
      <x:c r="B11" s="31"/>
      <x:c r="C11" s="31"/>
      <x:c r="D11" s="31"/>
      <x:c r="E11" s="31"/>
      <x:c r="F11" s="31"/>
      <x:c r="G11" s="31"/>
      <x:c r="H11" s="31"/>
    </x:row>
    <x:row r="12">
      <x:c r="A12" s="78" t="str">
        <x:v>SELECT
  contractor,
  COUNT(*) AS projects,
  AVG(change_order_pct) AS avg_change_order_pct,
  AVG(risk_score) AS avg_risk_score,
  AVG(performance_score) AS avg_performance_score
FROM gas_contracts
GROUP BY contractor
ORDER BY avg_risk_score DESC;</x:v>
      </x:c>
      <x:c r="B12" s="78"/>
      <x:c r="C12" s="78"/>
      <x:c r="D12" s="78"/>
      <x:c r="E12" s="78"/>
      <x:c r="F12" s="78"/>
      <x:c r="G12" s="78"/>
      <x:c r="H12" s="78"/>
    </x:row>
    <x:row r="13">
      <x:c r="A13" s="78"/>
      <x:c r="B13" s="78"/>
      <x:c r="C13" s="78"/>
      <x:c r="D13" s="78"/>
      <x:c r="E13" s="78"/>
      <x:c r="F13" s="78"/>
      <x:c r="G13" s="78"/>
      <x:c r="H13" s="78"/>
    </x:row>
    <x:row r="14">
      <x:c r="A14" s="78"/>
      <x:c r="B14" s="78"/>
      <x:c r="C14" s="78"/>
      <x:c r="D14" s="78"/>
      <x:c r="E14" s="78"/>
      <x:c r="F14" s="78"/>
      <x:c r="G14" s="78"/>
      <x:c r="H14" s="78"/>
    </x:row>
    <x:row r="15">
      <x:c r="A15" s="78"/>
      <x:c r="B15" s="78"/>
      <x:c r="C15" s="78"/>
      <x:c r="D15" s="78"/>
      <x:c r="E15" s="78"/>
      <x:c r="F15" s="78"/>
      <x:c r="G15" s="78"/>
      <x:c r="H15" s="78"/>
    </x:row>
    <x:row r="16">
      <x:c r="A16" s="78"/>
      <x:c r="B16" s="78"/>
      <x:c r="C16" s="78"/>
      <x:c r="D16" s="78"/>
      <x:c r="E16" s="78"/>
      <x:c r="F16" s="78"/>
      <x:c r="G16" s="78"/>
      <x:c r="H16" s="78"/>
    </x:row>
    <x:row r="17">
      <x:c r="A17" s="78"/>
      <x:c r="B17" s="78"/>
      <x:c r="C17" s="78"/>
      <x:c r="D17" s="78"/>
      <x:c r="E17" s="78"/>
      <x:c r="F17" s="78"/>
      <x:c r="G17" s="78"/>
      <x:c r="H17" s="78"/>
    </x:row>
    <x:row r="18">
      <x:c r="A18" s="78"/>
      <x:c r="B18" s="78"/>
      <x:c r="C18" s="78"/>
      <x:c r="D18" s="78"/>
      <x:c r="E18" s="78"/>
      <x:c r="F18" s="78"/>
      <x:c r="G18" s="78"/>
      <x:c r="H18" s="78"/>
    </x:row>
    <x:row r="19">
      <x:c r="A19" s="78"/>
      <x:c r="B19" s="78"/>
      <x:c r="C19" s="78"/>
      <x:c r="D19" s="78"/>
      <x:c r="E19" s="78"/>
      <x:c r="F19" s="78"/>
      <x:c r="G19" s="78"/>
      <x:c r="H19" s="78"/>
    </x:row>
    <x:row r="20">
      <x:c r="A20" s="78"/>
      <x:c r="B20" s="78"/>
      <x:c r="C20" s="78"/>
      <x:c r="D20" s="78"/>
      <x:c r="E20" s="78"/>
      <x:c r="F20" s="78"/>
      <x:c r="G20" s="78"/>
      <x:c r="H20" s="78"/>
    </x:row>
    <x:row r="22">
      <x:c r="A22" s="31" t="str">
        <x:v>3. Management attention queue</x:v>
      </x:c>
      <x:c r="B22" s="31"/>
      <x:c r="C22" s="31"/>
      <x:c r="D22" s="31"/>
      <x:c r="E22" s="31"/>
      <x:c r="F22" s="31"/>
      <x:c r="G22" s="31"/>
      <x:c r="H22" s="31"/>
    </x:row>
    <x:row r="23">
      <x:c r="A23" s="78" t="str">
        <x:v>SELECT
  project_id, contractor, town,
  forecast_variance_pct,
  schedule_variance_days,
  risk_score
FROM gas_contracts
WHERE forecast_variance_pct &gt; 0.10
   OR schedule_variance_days &lt; -15
   OR risk_score &gt;= 55
ORDER BY risk_score DESC;</x:v>
      </x:c>
      <x:c r="B23" s="78"/>
      <x:c r="C23" s="78"/>
      <x:c r="D23" s="78"/>
      <x:c r="E23" s="78"/>
      <x:c r="F23" s="78"/>
      <x:c r="G23" s="78"/>
      <x:c r="H23" s="78"/>
    </x:row>
    <x:row r="24">
      <x:c r="A24" s="78"/>
      <x:c r="B24" s="78"/>
      <x:c r="C24" s="78"/>
      <x:c r="D24" s="78"/>
      <x:c r="E24" s="78"/>
      <x:c r="F24" s="78"/>
      <x:c r="G24" s="78"/>
      <x:c r="H24" s="78"/>
    </x:row>
    <x:row r="25">
      <x:c r="A25" s="78"/>
      <x:c r="B25" s="78"/>
      <x:c r="C25" s="78"/>
      <x:c r="D25" s="78"/>
      <x:c r="E25" s="78"/>
      <x:c r="F25" s="78"/>
      <x:c r="G25" s="78"/>
      <x:c r="H25" s="78"/>
    </x:row>
    <x:row r="26">
      <x:c r="A26" s="78"/>
      <x:c r="B26" s="78"/>
      <x:c r="C26" s="78"/>
      <x:c r="D26" s="78"/>
      <x:c r="E26" s="78"/>
      <x:c r="F26" s="78"/>
      <x:c r="G26" s="78"/>
      <x:c r="H26" s="78"/>
    </x:row>
    <x:row r="27">
      <x:c r="A27" s="78"/>
      <x:c r="B27" s="78"/>
      <x:c r="C27" s="78"/>
      <x:c r="D27" s="78"/>
      <x:c r="E27" s="78"/>
      <x:c r="F27" s="78"/>
      <x:c r="G27" s="78"/>
      <x:c r="H27" s="78"/>
    </x:row>
    <x:row r="28">
      <x:c r="A28" s="78"/>
      <x:c r="B28" s="78"/>
      <x:c r="C28" s="78"/>
      <x:c r="D28" s="78"/>
      <x:c r="E28" s="78"/>
      <x:c r="F28" s="78"/>
      <x:c r="G28" s="78"/>
      <x:c r="H28" s="78"/>
    </x:row>
    <x:row r="29">
      <x:c r="A29" s="78"/>
      <x:c r="B29" s="78"/>
      <x:c r="C29" s="78"/>
      <x:c r="D29" s="78"/>
      <x:c r="E29" s="78"/>
      <x:c r="F29" s="78"/>
      <x:c r="G29" s="78"/>
      <x:c r="H29" s="78"/>
    </x:row>
    <x:row r="30">
      <x:c r="A30" s="78"/>
      <x:c r="B30" s="78"/>
      <x:c r="C30" s="78"/>
      <x:c r="D30" s="78"/>
      <x:c r="E30" s="78"/>
      <x:c r="F30" s="78"/>
      <x:c r="G30" s="78"/>
      <x:c r="H30" s="78"/>
    </x:row>
    <x:row r="31">
      <x:c r="A31" s="78"/>
      <x:c r="B31" s="78"/>
      <x:c r="C31" s="78"/>
      <x:c r="D31" s="78"/>
      <x:c r="E31" s="78"/>
      <x:c r="F31" s="78"/>
      <x:c r="G31" s="78"/>
      <x:c r="H31" s="78"/>
    </x:row>
    <x:row r="32">
      <x:c r="A32" s="78"/>
      <x:c r="B32" s="78"/>
      <x:c r="C32" s="78"/>
      <x:c r="D32" s="78"/>
      <x:c r="E32" s="78"/>
      <x:c r="F32" s="78"/>
      <x:c r="G32" s="78"/>
      <x:c r="H32" s="78"/>
    </x:row>
    <x:row r="34">
      <x:c r="A34" s="31" t="str">
        <x:v>4. Monthly Performance Review exception logic</x:v>
      </x:c>
      <x:c r="B34" s="31"/>
      <x:c r="C34" s="31"/>
      <x:c r="D34" s="31"/>
      <x:c r="E34" s="31"/>
      <x:c r="F34" s="31"/>
      <x:c r="G34" s="31"/>
      <x:c r="H34" s="31"/>
    </x:row>
    <x:row r="35">
      <x:c r="A35" s="78" t="str">
        <x:v>SELECT
  project_id,
  CASE
    WHEN risk_score &gt;= 55 THEN 'Escalate'
    WHEN risk_score &gt;= 30 THEN 'Watch'
    ELSE 'Routine'
  END AS review_status
FROM gas_contracts;</x:v>
      </x:c>
      <x:c r="B35" s="78"/>
      <x:c r="C35" s="78"/>
      <x:c r="D35" s="78"/>
      <x:c r="E35" s="78"/>
      <x:c r="F35" s="78"/>
      <x:c r="G35" s="78"/>
      <x:c r="H35" s="78"/>
    </x:row>
    <x:row r="36">
      <x:c r="A36" s="78"/>
      <x:c r="B36" s="78"/>
      <x:c r="C36" s="78"/>
      <x:c r="D36" s="78"/>
      <x:c r="E36" s="78"/>
      <x:c r="F36" s="78"/>
      <x:c r="G36" s="78"/>
      <x:c r="H36" s="78"/>
    </x:row>
    <x:row r="37">
      <x:c r="A37" s="78"/>
      <x:c r="B37" s="78"/>
      <x:c r="C37" s="78"/>
      <x:c r="D37" s="78"/>
      <x:c r="E37" s="78"/>
      <x:c r="F37" s="78"/>
      <x:c r="G37" s="78"/>
      <x:c r="H37" s="78"/>
    </x:row>
    <x:row r="38">
      <x:c r="A38" s="78"/>
      <x:c r="B38" s="78"/>
      <x:c r="C38" s="78"/>
      <x:c r="D38" s="78"/>
      <x:c r="E38" s="78"/>
      <x:c r="F38" s="78"/>
      <x:c r="G38" s="78"/>
      <x:c r="H38" s="78"/>
    </x:row>
    <x:row r="39">
      <x:c r="A39" s="78"/>
      <x:c r="B39" s="78"/>
      <x:c r="C39" s="78"/>
      <x:c r="D39" s="78"/>
      <x:c r="E39" s="78"/>
      <x:c r="F39" s="78"/>
      <x:c r="G39" s="78"/>
      <x:c r="H39" s="78"/>
    </x:row>
    <x:row r="40">
      <x:c r="A40" s="78"/>
      <x:c r="B40" s="78"/>
      <x:c r="C40" s="78"/>
      <x:c r="D40" s="78"/>
      <x:c r="E40" s="78"/>
      <x:c r="F40" s="78"/>
      <x:c r="G40" s="78"/>
      <x:c r="H40" s="78"/>
    </x:row>
    <x:row r="41">
      <x:c r="A41" s="78"/>
      <x:c r="B41" s="78"/>
      <x:c r="C41" s="78"/>
      <x:c r="D41" s="78"/>
      <x:c r="E41" s="78"/>
      <x:c r="F41" s="78"/>
      <x:c r="G41" s="78"/>
      <x:c r="H41" s="78"/>
    </x:row>
    <x:row r="42">
      <x:c r="A42" s="78"/>
      <x:c r="B42" s="78"/>
      <x:c r="C42" s="78"/>
      <x:c r="D42" s="78"/>
      <x:c r="E42" s="78"/>
      <x:c r="F42" s="78"/>
      <x:c r="G42" s="78"/>
      <x:c r="H42" s="78"/>
    </x:row>
  </x:sheetData>
  <x:mergeCells>
    <x:mergeCell ref="A1:H1"/>
    <x:mergeCell ref="A2:H2"/>
    <x:mergeCell ref="A4:H4"/>
    <x:mergeCell ref="A5:H9"/>
    <x:mergeCell ref="A11:H11"/>
    <x:mergeCell ref="A12:H20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24" hidden="0" customWidth="1"/>
    <x:col min="5" max="5" width="28" hidden="0" customWidth="1"/>
    <x:col min="6" max="6" width="45" hidden="0" customWidth="1"/>
  </x:cols>
  <x:sheetData>
    <x:row r="1">
      <x:c r="A1" s="83" t="str">
        <x:v>POWER BI BUILD GUIDE - TURN THIS WORKBOOK INTO A LIVE DASHBOARD</x:v>
      </x:c>
      <x:c r="B1" s="83"/>
      <x:c r="C1" s="83"/>
      <x:c r="D1" s="83"/>
      <x:c r="E1" s="83"/>
      <x:c r="F1" s="83"/>
    </x:row>
    <x:row r="2">
      <x:c r="A2" s="86" t="str">
        <x:v>Use the GasContracts table as the source. This gives Timothy a direct path to a true Power BI version without overstating current experience.</x:v>
      </x:c>
      <x:c r="B2" s="86"/>
      <x:c r="C2" s="86"/>
      <x:c r="D2" s="86"/>
      <x:c r="E2" s="86"/>
      <x:c r="F2" s="86"/>
    </x:row>
    <x:row r="4" ht="42" customHeight="1">
      <x:c r="A4" s="6" t="str">
        <x:v>Step</x:v>
      </x:c>
      <x:c r="B4" s="6" t="str">
        <x:v>Power BI action</x:v>
      </x:c>
      <x:c r="C4" s="6" t="str">
        <x:v>Why it matters</x:v>
      </x:c>
      <x:c r="D4" s="6" t="str">
        <x:v>Suggested visual</x:v>
      </x:c>
      <x:c r="E4" s="6" t="str">
        <x:v>Field / Measure</x:v>
      </x:c>
      <x:c r="F4" s="6" t="str">
        <x:v>Interview explanation</x:v>
      </x:c>
    </x:row>
    <x:row r="5" ht="42" customHeight="1">
      <x:c r="A5" s="88" t="n">
        <x:v>1</x:v>
      </x:c>
      <x:c r="B5" s="88" t="str">
        <x:v>Get Data &gt; Excel &gt; GasContracts table</x:v>
      </x:c>
      <x:c r="C5" s="88" t="str">
        <x:v>Creates a clean, refreshable model</x:v>
      </x:c>
      <x:c r="D5" s="88" t="str">
        <x:v>Data model</x:v>
      </x:c>
      <x:c r="E5" s="88" t="str">
        <x:v>All project fields</x:v>
      </x:c>
      <x:c r="F5" s="88" t="str">
        <x:v>I structured the source as one controlled project table so it can be refreshed rather than manually rebuilt.</x:v>
      </x:c>
    </x:row>
    <x:row r="6" ht="42" customHeight="1">
      <x:c r="A6" s="88" t="n">
        <x:v>2</x:v>
      </x:c>
      <x:c r="B6" s="88" t="str">
        <x:v>Create measures for approved value, forecast, variance, at-risk count and average performance</x:v>
      </x:c>
      <x:c r="C6" s="88" t="str">
        <x:v>Separates reusable business logic from visuals</x:v>
      </x:c>
      <x:c r="D6" s="88" t="str">
        <x:v>KPI cards</x:v>
      </x:c>
      <x:c r="E6" s="88" t="str">
        <x:v>SUM / COUNT measures</x:v>
      </x:c>
      <x:c r="F6" s="88" t="str">
        <x:v>I defined the KPIs first, then built visuals around the decision each KPI supports.</x:v>
      </x:c>
    </x:row>
    <x:row r="7" ht="42" customHeight="1">
      <x:c r="A7" s="88" t="n">
        <x:v>3</x:v>
      </x:c>
      <x:c r="B7" s="88" t="str">
        <x:v>Add contractor performance visual</x:v>
      </x:c>
      <x:c r="C7" s="88" t="str">
        <x:v>Compares commercial outcomes across contractors</x:v>
      </x:c>
      <x:c r="D7" s="88" t="str">
        <x:v>Clustered column chart</x:v>
      </x:c>
      <x:c r="E7" s="88" t="str">
        <x:v>Contractor + Performance Score</x:v>
      </x:c>
      <x:c r="F7" s="88" t="str">
        <x:v>The goal is not to rank contractors on one metric; it is to spot patterns requiring review.</x:v>
      </x:c>
    </x:row>
    <x:row r="8" ht="42" customHeight="1">
      <x:c r="A8" s="88" t="n">
        <x:v>4</x:v>
      </x:c>
      <x:c r="B8" s="88" t="str">
        <x:v>Add forecast-variance visual</x:v>
      </x:c>
      <x:c r="C8" s="88" t="str">
        <x:v>Shows cost pressure by contractor</x:v>
      </x:c>
      <x:c r="D8" s="88" t="str">
        <x:v>Bar chart</x:v>
      </x:c>
      <x:c r="E8" s="88" t="str">
        <x:v>Contractor + Forecast Variance</x:v>
      </x:c>
      <x:c r="F8" s="88" t="str">
        <x:v>This helps management focus commercial conversations where exposure is concentrated.</x:v>
      </x:c>
    </x:row>
    <x:row r="9" ht="42" customHeight="1">
      <x:c r="A9" s="88" t="n">
        <x:v>5</x:v>
      </x:c>
      <x:c r="B9" s="88" t="str">
        <x:v>Add management-attention table with conditional formatting</x:v>
      </x:c>
      <x:c r="C9" s="88" t="str">
        <x:v>Creates an exception-based MPR queue</x:v>
      </x:c>
      <x:c r="D9" s="88" t="str">
        <x:v>Table</x:v>
      </x:c>
      <x:c r="E9" s="88" t="str">
        <x:v>Project, variance, schedule, risk</x:v>
      </x:c>
      <x:c r="F9" s="88" t="str">
        <x:v>I prefer exception reporting because leaders can move directly from dashboard to action.</x:v>
      </x:c>
    </x:row>
    <x:row r="10" ht="42" customHeight="1">
      <x:c r="A10" s="88" t="n">
        <x:v>6</x:v>
      </x:c>
      <x:c r="B10" s="88" t="str">
        <x:v>Add slicers for town, project type, contractor, and status</x:v>
      </x:c>
      <x:c r="C10" s="88" t="str">
        <x:v>Lets stakeholders answer their own questions</x:v>
      </x:c>
      <x:c r="D10" s="88" t="str">
        <x:v>Slicers</x:v>
      </x:c>
      <x:c r="E10" s="88" t="str">
        <x:v>Town / Type / Contractor / Status</x:v>
      </x:c>
      <x:c r="F10" s="88" t="str">
        <x:v>Stakeholder usability matters; filters reduce one-off reporting requests.</x:v>
      </x:c>
    </x:row>
  </x:sheetData>
  <x:mergeCells>
    <x:mergeCell ref="A1:F1"/>
    <x:mergeCell ref="A2:F2"/>
  </x:mergeCells>
  <x:pageMargins left="0.7" right="0.7" top="0.75" bottom="0.75" header="0.3" footer="0.3"/>
</x:worksheet>
</file>